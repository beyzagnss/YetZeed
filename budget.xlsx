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51.xml"/>
  <Override ContentType="application/vnd.openxmlformats-officedocument.drawingml.chart+xml" PartName="/xl/charts/chart16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Dashboard" sheetId="1" r:id="rId5"/>
    <sheet state="visible" name="Annual Totals" sheetId="2" r:id="rId6"/>
    <sheet state="visible" name="Jan" sheetId="3" r:id="rId7"/>
    <sheet state="visible" name="Feb" sheetId="4" r:id="rId8"/>
    <sheet state="visible" name="Mar" sheetId="5" r:id="rId9"/>
    <sheet state="visible" name="Apr" sheetId="6" r:id="rId10"/>
    <sheet state="visible" name="May" sheetId="7" r:id="rId11"/>
    <sheet state="visible" name="Jun" sheetId="8" r:id="rId12"/>
    <sheet state="visible" name="Jul" sheetId="9" r:id="rId13"/>
    <sheet state="visible" name="Aug" sheetId="10" r:id="rId14"/>
    <sheet state="visible" name="Sep" sheetId="11" r:id="rId15"/>
    <sheet state="visible" name="Oct" sheetId="12" r:id="rId16"/>
    <sheet state="visible" name="Nov" sheetId="13" r:id="rId17"/>
    <sheet state="visible" name="Dec" sheetId="14" r:id="rId18"/>
    <sheet state="visible" name="Chart Data for Each Month" sheetId="15" r:id="rId19"/>
  </sheets>
  <definedNames/>
  <calcPr/>
</workbook>
</file>

<file path=xl/sharedStrings.xml><?xml version="1.0" encoding="utf-8"?>
<sst xmlns="http://schemas.openxmlformats.org/spreadsheetml/2006/main" count="1038" uniqueCount="112">
  <si>
    <t>Annual Totals</t>
  </si>
  <si>
    <t>SUMMARY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</si>
  <si>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</si>
  <si>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</si>
  <si>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</si>
  <si>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</si>
  <si>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</si>
  <si>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</si>
  <si>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</si>
  <si>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</si>
  <si>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</si>
  <si>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</si>
  <si>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</si>
  <si>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</si>
  <si>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Income</t>
  </si>
  <si>
    <t>Savings</t>
  </si>
  <si>
    <t>Bills</t>
  </si>
  <si>
    <t>Expenses</t>
  </si>
  <si>
    <t>Debts</t>
  </si>
  <si>
    <t>BALANCE</t>
  </si>
  <si>
    <t>Name</t>
  </si>
  <si>
    <t>Alex Paycheck #1</t>
  </si>
  <si>
    <t>Harper Paycheck #1</t>
  </si>
  <si>
    <t>Freelance Earnings</t>
  </si>
  <si>
    <t>Alex Paycheck #2</t>
  </si>
  <si>
    <t>Harper Paycheck #2</t>
  </si>
  <si>
    <t>Investment Interest</t>
  </si>
  <si>
    <t>Total Income</t>
  </si>
  <si>
    <t>Emergency Fund</t>
  </si>
  <si>
    <t>Investment Portfolio</t>
  </si>
  <si>
    <t>Vacation Fund</t>
  </si>
  <si>
    <t>New Vehicle</t>
  </si>
  <si>
    <t>Home Improvement</t>
  </si>
  <si>
    <t>Total Savings</t>
  </si>
  <si>
    <t>Electricity</t>
  </si>
  <si>
    <t>Water</t>
  </si>
  <si>
    <t>Gas</t>
  </si>
  <si>
    <t>Internet</t>
  </si>
  <si>
    <t>Phone Plan</t>
  </si>
  <si>
    <t>Gym Membership</t>
  </si>
  <si>
    <t>Car Insurance</t>
  </si>
  <si>
    <t>Health Insurance</t>
  </si>
  <si>
    <t>Total Bills</t>
  </si>
  <si>
    <t>Groceries</t>
  </si>
  <si>
    <t>Dining Out</t>
  </si>
  <si>
    <t>Fuel</t>
  </si>
  <si>
    <t>Shopping</t>
  </si>
  <si>
    <t>Beauty</t>
  </si>
  <si>
    <t>Entertainment</t>
  </si>
  <si>
    <t>Travel</t>
  </si>
  <si>
    <t>Gifts</t>
  </si>
  <si>
    <t>Health</t>
  </si>
  <si>
    <t>Pets</t>
  </si>
  <si>
    <t>Custom Expense 1</t>
  </si>
  <si>
    <t>Custom Expense 2</t>
  </si>
  <si>
    <t>Total Expenses</t>
  </si>
  <si>
    <t>Mortgage</t>
  </si>
  <si>
    <t>Student Loan</t>
  </si>
  <si>
    <t>Credit Card</t>
  </si>
  <si>
    <t>January</t>
  </si>
  <si>
    <t>Left to Spend</t>
  </si>
  <si>
    <t>Remaining Budget</t>
  </si>
  <si>
    <t>Balance Overview</t>
  </si>
  <si>
    <t>Budget (Left) vs Actual (Right)</t>
  </si>
  <si>
    <t>Spending Overview</t>
  </si>
  <si>
    <t>Debt</t>
  </si>
  <si>
    <t>Payday</t>
  </si>
  <si>
    <t>Amount</t>
  </si>
  <si>
    <t>Budget</t>
  </si>
  <si>
    <t>Actual</t>
  </si>
  <si>
    <t>Total</t>
  </si>
  <si>
    <t>February</t>
  </si>
  <si>
    <t>March</t>
  </si>
  <si>
    <t>YBL Para fonu</t>
  </si>
  <si>
    <t xml:space="preserve">Altın </t>
  </si>
  <si>
    <t>April</t>
  </si>
  <si>
    <t>Burs</t>
  </si>
  <si>
    <t>Yiyecek</t>
  </si>
  <si>
    <t>ahmetcan borç</t>
  </si>
  <si>
    <t>Maaş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</si>
  <si>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</si>
  <si>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</si>
  <si>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</si>
  <si>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</si>
  <si>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</si>
  <si>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</si>
  <si>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</si>
  <si>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</si>
  <si>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Budget (Left) vs Actual (Right) Jan</t>
  </si>
  <si>
    <t>Budget (Left) vs Actual (Right) Feb</t>
  </si>
  <si>
    <t>Budget (Left) vs Actual (Right) Mar</t>
  </si>
  <si>
    <t>Budget (Left) vs Actual (Right) Apr</t>
  </si>
  <si>
    <t>Budget (Left) vs Actual (Right) May</t>
  </si>
  <si>
    <t>Budget (Left) vs Actual (Right) Jun</t>
  </si>
  <si>
    <t>Spending Overview Jan</t>
  </si>
  <si>
    <t>Spending Overview Feb</t>
  </si>
  <si>
    <t>Spending Overview Mar</t>
  </si>
  <si>
    <t>Spending Overview Apr</t>
  </si>
  <si>
    <t>Spending Overview May</t>
  </si>
  <si>
    <t>Spending Overview Jun</t>
  </si>
  <si>
    <t>Budget (Left) vs Actual (Right) Jul</t>
  </si>
  <si>
    <t>Budget (Left) vs Actual (Right) Aug</t>
  </si>
  <si>
    <t>Budget (Left) vs Actual (Right) Sep</t>
  </si>
  <si>
    <t>Budget (Left) vs Actual (Right) Oct</t>
  </si>
  <si>
    <t>Budget (Left) vs Actual (Right) Nov</t>
  </si>
  <si>
    <t>Budget (Left) vs Actual (Right) Dec</t>
  </si>
  <si>
    <t>Spending Overview Jul</t>
  </si>
  <si>
    <t>Spending Overview Aug</t>
  </si>
  <si>
    <t>Spending Overview Sep</t>
  </si>
  <si>
    <t>Spending Overview Oct</t>
  </si>
  <si>
    <t>Spending Overview Nov</t>
  </si>
  <si>
    <t>Spending Overview 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</si>
</sst>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M/d/yyyy"/>
    <numFmt numFmtId="166" formatCode="&quot;$&quot;#,##0.00"/>
    <numFmt numFmtId="167" formatCode="mmm-d"/>
  </numFmts>
  <fonts count="17">
    <font>
      <sz val="10.0"/>
      <color rgb="FF000000"/>
      <name val="Arial"/>
      <scheme val="minor"/>
    </font>
    <font>
      <sz val="4.0"/>
      <color theme="1"/>
      <name val="Montserrat"/>
    </font>
    <font>
      <color theme="1"/>
      <name val="Montserrat"/>
    </font>
    <font>
      <sz val="26.0"/>
      <color theme="1"/>
      <name val="Montserrat"/>
    </font>
    <font>
      <b/>
      <sz val="29.0"/>
      <color rgb="FFFFFFFF"/>
      <name val="Montserrat"/>
    </font>
    <font/>
    <font>
      <b/>
      <sz val="10.0"/>
      <color rgb="FF231942"/>
      <name val="Montserrat"/>
    </font>
    <font>
      <color theme="1"/>
      <name val="Arial"/>
      <scheme val="minor"/>
    </font>
    <font>
      <b/>
      <sz val="10.0"/>
      <color theme="1"/>
      <name val="Montserrat"/>
    </font>
    <font>
      <sz val="16.0"/>
      <color theme="1"/>
      <name val="Montserrat"/>
    </font>
    <font>
      <b/>
      <sz val="15.0"/>
      <color rgb="FFFFFFFF"/>
      <name val="Montserrat"/>
    </font>
    <font>
      <b/>
      <color theme="1"/>
      <name val="Montserrat"/>
    </font>
    <font>
      <b/>
      <sz val="12.0"/>
      <color rgb="FFFFFFFF"/>
      <name val="Montserrat"/>
    </font>
    <font>
      <b/>
      <sz val="12.0"/>
      <color theme="0"/>
      <name val="Montserrat"/>
    </font>
    <font>
      <sz val="11.0"/>
      <color theme="1"/>
      <name val="Montserrat"/>
    </font>
    <font>
      <b/>
      <sz val="10.0"/>
      <color rgb="FFFFFFFF"/>
      <name val="Montserrat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BB7E2"/>
        <bgColor rgb="FFCBB7E2"/>
      </patternFill>
    </fill>
    <fill>
      <patternFill patternType="solid">
        <fgColor rgb="FFE4D7F1"/>
        <bgColor rgb="FFE4D7F1"/>
      </patternFill>
    </fill>
    <fill>
      <patternFill patternType="solid">
        <fgColor rgb="FFEFEAF4"/>
        <bgColor rgb="FFEFEAF4"/>
      </patternFill>
    </fill>
    <fill>
      <patternFill patternType="solid">
        <fgColor rgb="FF7D6994"/>
        <bgColor rgb="FF7D6994"/>
      </patternFill>
    </fill>
    <fill>
      <patternFill patternType="solid">
        <fgColor theme="0"/>
        <bgColor theme="0"/>
      </patternFill>
    </fill>
    <fill>
      <patternFill patternType="solid">
        <fgColor rgb="FF231942"/>
        <bgColor rgb="FF231942"/>
      </patternFill>
    </fill>
  </fills>
  <borders count="33">
    <border/>
    <border>
      <left style="thin">
        <color rgb="FFD1D1D1"/>
      </left>
      <top style="thin">
        <color rgb="FFD1D1D1"/>
      </top>
    </border>
    <border>
      <top style="thin">
        <color rgb="FFD1D1D1"/>
      </top>
    </border>
    <border>
      <right style="thin">
        <color rgb="FFD1D1D1"/>
      </right>
      <top style="thin">
        <color rgb="FFD1D1D1"/>
      </top>
    </border>
    <border>
      <left style="thin">
        <color rgb="FFD1D1D1"/>
      </left>
      <top style="thin">
        <color rgb="FFD1D1D1"/>
      </top>
      <bottom style="thin">
        <color rgb="FFD1D1D1"/>
      </bottom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</border>
    <border>
      <top style="thin">
        <color rgb="FFD1D1D1"/>
      </top>
      <bottom style="thin">
        <color rgb="FFD1D1D1"/>
      </bottom>
    </border>
    <border>
      <right style="thin">
        <color rgb="FFD1D1D1"/>
      </right>
      <top style="thin">
        <color rgb="FFD1D1D1"/>
      </top>
      <bottom style="thin">
        <color rgb="FFD1D1D1"/>
      </bottom>
    </border>
    <border>
      <left style="thin">
        <color rgb="FFD1D1D1"/>
      </left>
      <bottom style="thin">
        <color rgb="FFD1D1D1"/>
      </bottom>
    </border>
    <border>
      <bottom style="thin">
        <color rgb="FFD1D1D1"/>
      </bottom>
    </border>
    <border>
      <right style="thin">
        <color rgb="FFD1D1D1"/>
      </right>
      <bottom style="thin">
        <color rgb="FFD1D1D1"/>
      </bottom>
    </border>
    <border>
      <left style="double">
        <color rgb="FF000000"/>
      </left>
      <top style="double">
        <color rgb="FF000000"/>
      </top>
      <bottom style="thin">
        <color rgb="FFD1D1D1"/>
      </bottom>
    </border>
    <border>
      <top style="double">
        <color rgb="FF000000"/>
      </top>
      <bottom style="thin">
        <color rgb="FFD1D1D1"/>
      </bottom>
    </border>
    <border>
      <right style="double">
        <color rgb="FF000000"/>
      </right>
      <top style="double">
        <color rgb="FF000000"/>
      </top>
      <bottom style="thin">
        <color rgb="FFD1D1D1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D1D1D1"/>
      </right>
      <top style="thin">
        <color rgb="FFD1D1D1"/>
      </top>
      <bottom style="thin">
        <color rgb="FFD1D1D1"/>
      </bottom>
    </border>
    <border>
      <left style="thin">
        <color rgb="FFD1D1D1"/>
      </left>
      <right style="double">
        <color rgb="FF000000"/>
      </right>
      <top style="thin">
        <color rgb="FFD1D1D1"/>
      </top>
      <bottom style="thin">
        <color rgb="FFD1D1D1"/>
      </bottom>
    </border>
    <border>
      <left style="double">
        <color rgb="FF000000"/>
      </left>
    </border>
    <border>
      <right style="double">
        <color rgb="FF000000"/>
      </right>
    </border>
    <border>
      <left style="thin">
        <color rgb="FFD1D1D1"/>
      </left>
      <right style="double">
        <color rgb="FF000000"/>
      </right>
      <bottom style="thin">
        <color rgb="FFD1D1D1"/>
      </bottom>
    </border>
    <border>
      <left style="double">
        <color rgb="FF000000"/>
      </left>
      <right style="thin">
        <color rgb="FFD1D1D1"/>
      </right>
      <bottom style="thin">
        <color rgb="FFD1D1D1"/>
      </bottom>
    </border>
    <border>
      <left style="thin">
        <color rgb="FFD1D1D1"/>
      </left>
      <right style="thin">
        <color rgb="FFD1D1D1"/>
      </right>
      <bottom style="thin">
        <color rgb="FFD1D1D1"/>
      </bottom>
    </border>
    <border>
      <left style="thin">
        <color rgb="FFD1D1D1"/>
      </left>
      <right style="thin">
        <color rgb="FFD1D1D1"/>
      </right>
      <top style="thin">
        <color rgb="FFD1D1D1"/>
      </top>
    </border>
    <border>
      <left style="thin">
        <color rgb="FFD1D1D1"/>
      </left>
      <right style="double">
        <color rgb="FF000000"/>
      </right>
      <top style="thin">
        <color rgb="FFD1D1D1"/>
      </top>
    </border>
    <border>
      <left style="double">
        <color rgb="FF000000"/>
      </left>
      <right style="thin">
        <color rgb="FFD1D1D1"/>
      </right>
      <top style="thin">
        <color rgb="FFD1D1D1"/>
      </top>
    </border>
    <border>
      <left style="double">
        <color rgb="FF000000"/>
      </left>
      <top style="thin">
        <color rgb="FFD1D1D1"/>
      </top>
      <bottom style="thin">
        <color rgb="FFD1D1D1"/>
      </bottom>
    </border>
    <border>
      <right style="double">
        <color rgb="FF000000"/>
      </right>
      <top style="thin">
        <color rgb="FFD1D1D1"/>
      </top>
      <bottom style="thin">
        <color rgb="FFD1D1D1"/>
      </bottom>
    </border>
    <border>
      <right style="double">
        <color rgb="FF000000"/>
      </right>
      <bottom style="thin">
        <color rgb="FFD1D1D1"/>
      </bottom>
    </border>
    <border>
      <left style="double">
        <color rgb="FF000000"/>
      </left>
      <right style="thin">
        <color rgb="FFD1D1D1"/>
      </right>
      <top style="thin">
        <color rgb="FFD1D1D1"/>
      </top>
      <bottom style="double">
        <color rgb="FF000000"/>
      </bottom>
    </border>
    <border>
      <left style="thin">
        <color rgb="FFD1D1D1"/>
      </left>
      <top style="thin">
        <color rgb="FFD1D1D1"/>
      </top>
      <bottom style="double">
        <color rgb="FF000000"/>
      </bottom>
    </border>
    <border>
      <right style="double">
        <color rgb="FF000000"/>
      </right>
      <top style="thin">
        <color rgb="FFD1D1D1"/>
      </top>
      <bottom style="double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0" fillId="2" fontId="4" numFmtId="0" xfId="0" applyAlignment="1" applyFont="1">
      <alignment horizontal="center" readingOrder="0" vertical="center"/>
    </xf>
    <xf borderId="3" fillId="0" fontId="5" numFmtId="0" xfId="0" applyBorder="1" applyFont="1"/>
    <xf borderId="0" fillId="3" fontId="6" numFmtId="0" xfId="0" applyAlignment="1" applyFill="1" applyFont="1">
      <alignment readingOrder="0" vertical="center"/>
    </xf>
    <xf borderId="0" fillId="3" fontId="6" numFmtId="0" xfId="0" applyAlignment="1" applyFont="1">
      <alignment horizontal="center" vertical="center"/>
    </xf>
    <xf borderId="0" fillId="3" fontId="6" numFmtId="0" xfId="0" applyAlignment="1" applyFont="1">
      <alignment horizontal="center" vertical="center"/>
    </xf>
    <xf borderId="4" fillId="4" fontId="2" numFmtId="0" xfId="0" applyAlignment="1" applyBorder="1" applyFill="1" applyFont="1">
      <alignment readingOrder="0" vertical="center"/>
    </xf>
    <xf borderId="5" fillId="0" fontId="7" numFmtId="164" xfId="0" applyAlignment="1" applyBorder="1" applyFont="1" applyNumberFormat="1">
      <alignment horizontal="center" vertical="center"/>
    </xf>
    <xf borderId="0" fillId="3" fontId="8" numFmtId="0" xfId="0" applyAlignment="1" applyFont="1">
      <alignment readingOrder="0" vertical="center"/>
    </xf>
    <xf borderId="0" fillId="3" fontId="6" numFmtId="164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1" fillId="5" fontId="10" numFmtId="0" xfId="0" applyAlignment="1" applyBorder="1" applyFill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5" fillId="4" fontId="2" numFmtId="0" xfId="0" applyAlignment="1" applyBorder="1" applyFont="1">
      <alignment horizontal="left" readingOrder="0" vertical="center"/>
    </xf>
    <xf borderId="5" fillId="4" fontId="2" numFmtId="0" xfId="0" applyAlignment="1" applyBorder="1" applyFont="1">
      <alignment readingOrder="0" vertical="center"/>
    </xf>
    <xf borderId="5" fillId="0" fontId="7" numFmtId="164" xfId="0" applyAlignment="1" applyBorder="1" applyFont="1" applyNumberFormat="1">
      <alignment vertical="center"/>
    </xf>
    <xf borderId="5" fillId="4" fontId="2" numFmtId="0" xfId="0" applyAlignment="1" applyBorder="1" applyFont="1">
      <alignment vertical="center"/>
    </xf>
    <xf borderId="1" fillId="2" fontId="4" numFmtId="165" xfId="0" applyAlignment="1" applyBorder="1" applyFont="1" applyNumberFormat="1">
      <alignment horizontal="center" readingOrder="0" vertical="center"/>
    </xf>
    <xf borderId="4" fillId="3" fontId="11" numFmtId="0" xfId="0" applyAlignment="1" applyBorder="1" applyFont="1">
      <alignment horizontal="center" readingOrder="0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8" fillId="0" fontId="11" numFmtId="166" xfId="0" applyAlignment="1" applyBorder="1" applyFont="1" applyNumberFormat="1">
      <alignment horizontal="center" vertical="center"/>
    </xf>
    <xf borderId="4" fillId="4" fontId="11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vertical="center"/>
    </xf>
    <xf borderId="4" fillId="2" fontId="12" numFmtId="0" xfId="0" applyAlignment="1" applyBorder="1" applyFont="1">
      <alignment horizontal="center" readingOrder="0" vertical="center"/>
    </xf>
    <xf borderId="5" fillId="3" fontId="11" numFmtId="0" xfId="0" applyAlignment="1" applyBorder="1" applyFont="1">
      <alignment readingOrder="0" vertical="center"/>
    </xf>
    <xf borderId="5" fillId="3" fontId="1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5" fillId="0" fontId="2" numFmtId="167" xfId="0" applyAlignment="1" applyBorder="1" applyFont="1" applyNumberFormat="1">
      <alignment horizontal="center" readingOrder="0" vertical="center"/>
    </xf>
    <xf borderId="5" fillId="4" fontId="2" numFmtId="164" xfId="0" applyAlignment="1" applyBorder="1" applyFont="1" applyNumberFormat="1">
      <alignment horizontal="center" readingOrder="0" vertical="center"/>
    </xf>
    <xf borderId="5" fillId="0" fontId="2" numFmtId="164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vertical="center"/>
    </xf>
    <xf borderId="5" fillId="3" fontId="11" numFmtId="0" xfId="0" applyAlignment="1" applyBorder="1" applyFont="1">
      <alignment horizontal="center" vertical="center"/>
    </xf>
    <xf borderId="5" fillId="3" fontId="11" numFmtId="164" xfId="0" applyAlignment="1" applyBorder="1" applyFont="1" applyNumberFormat="1">
      <alignment horizontal="center" vertical="center"/>
    </xf>
    <xf borderId="4" fillId="2" fontId="13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readingOrder="0" vertical="center"/>
    </xf>
    <xf borderId="5" fillId="0" fontId="14" numFmtId="164" xfId="0" applyAlignment="1" applyBorder="1" applyFont="1" applyNumberFormat="1">
      <alignment horizontal="center" readingOrder="0" vertical="center"/>
    </xf>
    <xf borderId="5" fillId="4" fontId="14" numFmtId="164" xfId="0" applyAlignment="1" applyBorder="1" applyFont="1" applyNumberFormat="1">
      <alignment horizontal="center" readingOrder="0" vertical="center"/>
    </xf>
    <xf borderId="0" fillId="6" fontId="15" numFmtId="0" xfId="0" applyAlignment="1" applyFill="1" applyFont="1">
      <alignment horizontal="center" readingOrder="0" vertical="center"/>
    </xf>
    <xf borderId="11" fillId="7" fontId="15" numFmtId="0" xfId="0" applyAlignment="1" applyBorder="1" applyFill="1" applyFont="1">
      <alignment horizontal="center" readingOrder="0" vertical="center"/>
    </xf>
    <xf borderId="12" fillId="0" fontId="5" numFmtId="0" xfId="0" applyBorder="1" applyFont="1"/>
    <xf borderId="13" fillId="0" fontId="5" numFmtId="0" xfId="0" applyBorder="1" applyFont="1"/>
    <xf borderId="0" fillId="0" fontId="16" numFmtId="0" xfId="0" applyAlignment="1" applyFont="1">
      <alignment vertical="center"/>
    </xf>
    <xf borderId="11" fillId="5" fontId="15" numFmtId="0" xfId="0" applyAlignment="1" applyBorder="1" applyFont="1">
      <alignment horizontal="center" readingOrder="0" vertical="center"/>
    </xf>
    <xf borderId="14" fillId="5" fontId="15" numFmtId="0" xfId="0" applyAlignment="1" applyBorder="1" applyFont="1">
      <alignment horizontal="center" readingOrder="0" vertical="center"/>
    </xf>
    <xf borderId="15" fillId="0" fontId="5" numFmtId="0" xfId="0" applyBorder="1" applyFont="1"/>
    <xf borderId="16" fillId="0" fontId="5" numFmtId="0" xfId="0" applyBorder="1" applyFont="1"/>
    <xf borderId="0" fillId="6" fontId="2" numFmtId="0" xfId="0" applyAlignment="1" applyFont="1">
      <alignment readingOrder="0" vertical="center"/>
    </xf>
    <xf borderId="17" fillId="3" fontId="11" numFmtId="0" xfId="0" applyAlignment="1" applyBorder="1" applyFont="1">
      <alignment readingOrder="0" vertical="center"/>
    </xf>
    <xf borderId="18" fillId="3" fontId="11" numFmtId="0" xfId="0" applyAlignment="1" applyBorder="1" applyFont="1">
      <alignment horizontal="center" readingOrder="0" vertical="center"/>
    </xf>
    <xf borderId="19" fillId="3" fontId="11" numFmtId="0" xfId="0" applyAlignment="1" applyBorder="1" applyFont="1">
      <alignment readingOrder="0" vertical="center"/>
    </xf>
    <xf borderId="0" fillId="3" fontId="11" numFmtId="0" xfId="0" applyAlignment="1" applyFont="1">
      <alignment horizontal="center" readingOrder="0" vertical="center"/>
    </xf>
    <xf borderId="20" fillId="3" fontId="11" numFmtId="0" xfId="0" applyAlignment="1" applyBorder="1" applyFont="1">
      <alignment horizontal="center" readingOrder="0" vertical="center"/>
    </xf>
    <xf borderId="0" fillId="6" fontId="2" numFmtId="0" xfId="0" applyAlignment="1" applyFont="1">
      <alignment vertical="center"/>
    </xf>
    <xf borderId="17" fillId="0" fontId="2" numFmtId="0" xfId="0" applyAlignment="1" applyBorder="1" applyFont="1">
      <alignment readingOrder="0" vertical="center"/>
    </xf>
    <xf borderId="21" fillId="4" fontId="2" numFmtId="164" xfId="0" applyBorder="1" applyFont="1" applyNumberFormat="1"/>
    <xf borderId="22" fillId="0" fontId="2" numFmtId="0" xfId="0" applyAlignment="1" applyBorder="1" applyFont="1">
      <alignment readingOrder="0" vertical="center"/>
    </xf>
    <xf borderId="23" fillId="0" fontId="2" numFmtId="164" xfId="0" applyAlignment="1" applyBorder="1" applyFont="1" applyNumberFormat="1">
      <alignment horizontal="center" readingOrder="0" vertical="center"/>
    </xf>
    <xf borderId="18" fillId="4" fontId="2" numFmtId="164" xfId="0" applyBorder="1" applyFont="1" applyNumberFormat="1"/>
    <xf borderId="5" fillId="0" fontId="2" numFmtId="164" xfId="0" applyBorder="1" applyFont="1" applyNumberFormat="1"/>
    <xf borderId="24" fillId="0" fontId="2" numFmtId="164" xfId="0" applyBorder="1" applyFont="1" applyNumberFormat="1"/>
    <xf borderId="25" fillId="4" fontId="2" numFmtId="164" xfId="0" applyBorder="1" applyFont="1" applyNumberFormat="1"/>
    <xf borderId="26" fillId="0" fontId="2" numFmtId="0" xfId="0" applyAlignment="1" applyBorder="1" applyFont="1">
      <alignment readingOrder="0" vertical="center"/>
    </xf>
    <xf borderId="27" fillId="7" fontId="15" numFmtId="0" xfId="0" applyAlignment="1" applyBorder="1" applyFont="1">
      <alignment horizontal="center" readingOrder="0" vertical="center"/>
    </xf>
    <xf borderId="28" fillId="0" fontId="5" numFmtId="0" xfId="0" applyBorder="1" applyFont="1"/>
    <xf borderId="0" fillId="0" fontId="16" numFmtId="0" xfId="0" applyFont="1"/>
    <xf borderId="27" fillId="5" fontId="15" numFmtId="0" xfId="0" applyAlignment="1" applyBorder="1" applyFont="1">
      <alignment horizontal="center" readingOrder="0" vertical="center"/>
    </xf>
    <xf borderId="19" fillId="5" fontId="15" numFmtId="0" xfId="0" applyAlignment="1" applyBorder="1" applyFont="1">
      <alignment horizontal="center" readingOrder="0" vertical="center"/>
    </xf>
    <xf borderId="20" fillId="0" fontId="5" numFmtId="0" xfId="0" applyBorder="1" applyFont="1"/>
    <xf borderId="4" fillId="4" fontId="2" numFmtId="164" xfId="0" applyAlignment="1" applyBorder="1" applyFont="1" applyNumberFormat="1">
      <alignment horizontal="center" readingOrder="0" vertical="center"/>
    </xf>
    <xf borderId="28" fillId="0" fontId="7" numFmtId="0" xfId="0" applyBorder="1" applyFont="1"/>
    <xf borderId="8" fillId="4" fontId="2" numFmtId="164" xfId="0" applyBorder="1" applyFont="1" applyNumberFormat="1"/>
    <xf borderId="29" fillId="0" fontId="5" numFmtId="0" xfId="0" applyBorder="1" applyFont="1"/>
    <xf borderId="4" fillId="4" fontId="2" numFmtId="164" xfId="0" applyBorder="1" applyFont="1" applyNumberFormat="1"/>
    <xf borderId="30" fillId="0" fontId="2" numFmtId="0" xfId="0" applyAlignment="1" applyBorder="1" applyFont="1">
      <alignment readingOrder="0" vertical="center"/>
    </xf>
    <xf borderId="31" fillId="4" fontId="2" numFmtId="164" xfId="0" applyAlignment="1" applyBorder="1" applyFont="1" applyNumberFormat="1">
      <alignment horizontal="center" readingOrder="0" vertical="center"/>
    </xf>
    <xf borderId="32" fillId="0" fontId="5" numFmtId="0" xfId="0" applyBorder="1" applyFont="1"/>
    <xf borderId="32" fillId="0" fontId="7" numFmtId="0" xfId="0" applyBorder="1" applyFont="1"/>
    <xf borderId="31" fillId="4" fontId="2" numFmtId="164" xfId="0" applyBorder="1" applyFont="1" applyNumberFormat="1"/>
    <xf borderId="17" fillId="3" fontId="11" numFmtId="0" xfId="0" applyAlignment="1" applyBorder="1" applyFont="1">
      <alignment horizontal="center" readingOrder="0" vertical="center"/>
    </xf>
    <xf borderId="18" fillId="4" fontId="2" numFmtId="164" xfId="0" applyAlignment="1" applyBorder="1" applyFont="1" applyNumberFormat="1">
      <alignment horizontal="center" readingOrder="0" vertical="center"/>
    </xf>
    <xf borderId="17" fillId="0" fontId="2" numFmtId="0" xfId="0" applyAlignment="1" applyBorder="1" applyFont="1">
      <alignment horizontal="center" readingOrder="0" vertical="center"/>
    </xf>
    <xf borderId="18" fillId="4" fontId="2" numFmtId="164" xfId="0" applyAlignment="1" applyBorder="1" applyFont="1" applyNumberFormat="1">
      <alignment horizontal="center" vertical="center"/>
    </xf>
    <xf borderId="5" fillId="0" fontId="2" numFmtId="164" xfId="0" applyAlignment="1" applyBorder="1" applyFont="1" applyNumberFormat="1">
      <alignment horizontal="center" vertical="center"/>
    </xf>
    <xf borderId="24" fillId="0" fontId="2" numFmtId="164" xfId="0" applyAlignment="1" applyBorder="1" applyFont="1" applyNumberFormat="1">
      <alignment horizontal="center" vertical="center"/>
    </xf>
    <xf borderId="25" fillId="4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1942"/>
                </a:solidFill>
                <a:latin typeface="+mn-lt"/>
              </a:defRPr>
            </a:pPr>
            <a:r>
              <a:rPr b="1">
                <a:solidFill>
                  <a:srgbClr val="231942"/>
                </a:solidFill>
                <a:latin typeface="+mn-lt"/>
              </a:rPr>
              <a:t>Income vs Total Spendings</a:t>
            </a:r>
          </a:p>
        </c:rich>
      </c:tx>
      <c:overlay val="0"/>
    </c:title>
    <c:plotArea>
      <c:layout/>
      <c:barChart>
        <c:barDir val="col"/>
        <c:grouping val="stacked"/>
        <c:ser>
          <c:idx val="1"/>
          <c:order val="1"/>
          <c:tx>
            <c:strRef>
              <c:f>'Annual Totals'!$B$5</c:f>
            </c:strRef>
          </c:tx>
          <c:spPr>
            <a:solidFill>
              <a:srgbClr val="7D699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'Annual Totals'!$C$3:$N$3</c:f>
            </c:strRef>
          </c:cat>
          <c:val>
            <c:numRef>
              <c:f>'Annual Totals'!$C$5:$N$5</c:f>
              <c:numCache/>
            </c:numRef>
          </c:val>
        </c:ser>
        <c:ser>
          <c:idx val="2"/>
          <c:order val="2"/>
          <c:tx>
            <c:strRef>
              <c:f>'Annual Totals'!$B$6</c:f>
            </c:strRef>
          </c:tx>
          <c:spPr>
            <a:solidFill>
              <a:srgbClr val="E4D7F1"/>
            </a:solidFill>
            <a:ln cmpd="sng">
              <a:solidFill>
                <a:srgbClr val="000000"/>
              </a:solidFill>
            </a:ln>
          </c:spPr>
          <c:cat>
            <c:strRef>
              <c:f>'Annual Totals'!$C$3:$N$3</c:f>
            </c:strRef>
          </c:cat>
          <c:val>
            <c:numRef>
              <c:f>'Annual Totals'!$C$6:$N$6</c:f>
              <c:numCache/>
            </c:numRef>
          </c:val>
        </c:ser>
        <c:ser>
          <c:idx val="3"/>
          <c:order val="3"/>
          <c:tx>
            <c:strRef>
              <c:f>'Annual Totals'!$B$7</c:f>
            </c:strRef>
          </c:tx>
          <c:spPr>
            <a:solidFill>
              <a:srgbClr val="CBB7E2"/>
            </a:solidFill>
            <a:ln cmpd="sng">
              <a:solidFill>
                <a:srgbClr val="000000"/>
              </a:solidFill>
            </a:ln>
          </c:spPr>
          <c:cat>
            <c:strRef>
              <c:f>'Annual Totals'!$C$3:$N$3</c:f>
            </c:strRef>
          </c:cat>
          <c:val>
            <c:numRef>
              <c:f>'Annual Totals'!$C$7:$N$7</c:f>
              <c:numCache/>
            </c:numRef>
          </c:val>
        </c:ser>
        <c:ser>
          <c:idx val="4"/>
          <c:order val="4"/>
          <c:tx>
            <c:strRef>
              <c:f>'Annual Totals'!$B$8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'Annual Totals'!$C$3:$N$3</c:f>
            </c:strRef>
          </c:cat>
          <c:val>
            <c:numRef>
              <c:f>'Annual Totals'!$C$8:$N$8</c:f>
              <c:numCache/>
            </c:numRef>
          </c:val>
        </c:ser>
        <c:overlap val="100"/>
        <c:axId val="1206573573"/>
        <c:axId val="2100656199"/>
      </c:barChart>
      <c:lineChart>
        <c:varyColors val="0"/>
        <c:ser>
          <c:idx val="0"/>
          <c:order val="0"/>
          <c:tx>
            <c:strRef>
              <c:f>'Annual Totals'!$B$4</c:f>
            </c:strRef>
          </c:tx>
          <c:spPr>
            <a:ln cmpd="sng">
              <a:solidFill>
                <a:srgbClr val="231942"/>
              </a:solidFill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cat>
            <c:strRef>
              <c:f>'Annual Totals'!$C$3:$N$3</c:f>
            </c:strRef>
          </c:cat>
          <c:val>
            <c:numRef>
              <c:f>'Annual Totals'!$C$4:$N$4</c:f>
              <c:numCache/>
            </c:numRef>
          </c:val>
          <c:smooth val="0"/>
        </c:ser>
        <c:axId val="1206573573"/>
        <c:axId val="2100656199"/>
      </c:lineChart>
      <c:catAx>
        <c:axId val="1206573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656199"/>
      </c:catAx>
      <c:valAx>
        <c:axId val="2100656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57357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1942"/>
                </a:solidFill>
                <a:latin typeface="+mn-lt"/>
              </a:defRPr>
            </a:pPr>
            <a:r>
              <a:rPr b="1">
                <a:solidFill>
                  <a:srgbClr val="231942"/>
                </a:solidFill>
                <a:latin typeface="+mn-lt"/>
              </a:rPr>
              <a:t>Income Trend by Month</a:t>
            </a:r>
          </a:p>
        </c:rich>
      </c:tx>
      <c:overlay val="0"/>
    </c:title>
    <c:plotArea>
      <c:layout>
        <c:manualLayout>
          <c:xMode val="edge"/>
          <c:yMode val="edge"/>
          <c:x val="0.10277777777777777"/>
          <c:y val="0.18108349169923604"/>
          <c:w val="0.8663055555555557"/>
          <c:h val="0.7198592590268569"/>
        </c:manualLayout>
      </c:layout>
      <c:areaChart>
        <c:ser>
          <c:idx val="0"/>
          <c:order val="0"/>
          <c:tx>
            <c:strRef>
              <c:f>'Annual Totals'!$B$4</c:f>
            </c:strRef>
          </c:tx>
          <c:spPr>
            <a:solidFill>
              <a:srgbClr val="7D6994">
                <a:alpha val="10000"/>
              </a:srgbClr>
            </a:solidFill>
            <a:ln cmpd="sng">
              <a:solidFill>
                <a:srgbClr val="7D6994">
                  <a:alpha val="100000"/>
                </a:srgbClr>
              </a:solidFill>
            </a:ln>
          </c:spPr>
          <c:cat>
            <c:strRef>
              <c:f>'Annual Totals'!$C$3:$N$3</c:f>
            </c:strRef>
          </c:cat>
          <c:val>
            <c:numRef>
              <c:f>'Annual Totals'!$C$4:$N$4</c:f>
              <c:numCache/>
            </c:numRef>
          </c:val>
        </c:ser>
        <c:axId val="1071738813"/>
        <c:axId val="171630417"/>
      </c:areaChart>
      <c:catAx>
        <c:axId val="1071738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30417"/>
      </c:catAx>
      <c:valAx>
        <c:axId val="171630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738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1942"/>
                </a:solidFill>
                <a:latin typeface="+mn-lt"/>
              </a:defRPr>
            </a:pPr>
            <a:r>
              <a:rPr b="1">
                <a:solidFill>
                  <a:srgbClr val="231942"/>
                </a:solidFill>
                <a:latin typeface="+mn-lt"/>
              </a:rPr>
              <a:t>Bills Trend by Month</a:t>
            </a:r>
          </a:p>
        </c:rich>
      </c:tx>
      <c:overlay val="0"/>
    </c:title>
    <c:plotArea>
      <c:layout>
        <c:manualLayout>
          <c:xMode val="edge"/>
          <c:yMode val="edge"/>
          <c:x val="0.10833333333333334"/>
          <c:y val="0.190062838395066"/>
          <c:w val="0.8607500000000001"/>
          <c:h val="0.710879912331027"/>
        </c:manualLayout>
      </c:layout>
      <c:areaChart>
        <c:ser>
          <c:idx val="0"/>
          <c:order val="0"/>
          <c:tx>
            <c:strRef>
              <c:f>'Annual Totals'!$B$6</c:f>
            </c:strRef>
          </c:tx>
          <c:spPr>
            <a:solidFill>
              <a:srgbClr val="CBB7E2">
                <a:alpha val="30000"/>
              </a:srgbClr>
            </a:solidFill>
            <a:ln cmpd="sng">
              <a:solidFill>
                <a:srgbClr val="CBB7E2">
                  <a:alpha val="100000"/>
                </a:srgbClr>
              </a:solidFill>
            </a:ln>
          </c:spPr>
          <c:cat>
            <c:strRef>
              <c:f>'Annual Totals'!$C$3:$N$3</c:f>
            </c:strRef>
          </c:cat>
          <c:val>
            <c:numRef>
              <c:f>'Annual Totals'!$C$6:$N$6</c:f>
              <c:numCache/>
            </c:numRef>
          </c:val>
        </c:ser>
        <c:axId val="1836776421"/>
        <c:axId val="1084411437"/>
      </c:areaChart>
      <c:catAx>
        <c:axId val="1836776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411437"/>
      </c:catAx>
      <c:valAx>
        <c:axId val="1084411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776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1942"/>
                </a:solidFill>
                <a:latin typeface="+mn-lt"/>
              </a:defRPr>
            </a:pPr>
            <a:r>
              <a:rPr b="1">
                <a:solidFill>
                  <a:srgbClr val="231942"/>
                </a:solidFill>
                <a:latin typeface="+mn-lt"/>
              </a:rPr>
              <a:t>Expenses Trend by Month</a:t>
            </a:r>
          </a:p>
        </c:rich>
      </c:tx>
      <c:overlay val="0"/>
    </c:title>
    <c:plotArea>
      <c:layout>
        <c:manualLayout>
          <c:xMode val="edge"/>
          <c:yMode val="edge"/>
          <c:x val="0.10833333333333334"/>
          <c:y val="0.190062838395066"/>
          <c:w val="0.8607500000000001"/>
          <c:h val="0.710879912331027"/>
        </c:manualLayout>
      </c:layout>
      <c:areaChart>
        <c:ser>
          <c:idx val="0"/>
          <c:order val="0"/>
          <c:tx>
            <c:strRef>
              <c:f>'Annual Totals'!$B$7</c:f>
            </c:strRef>
          </c:tx>
          <c:spPr>
            <a:solidFill>
              <a:srgbClr val="CBB7E2">
                <a:alpha val="50000"/>
              </a:srgbClr>
            </a:solidFill>
            <a:ln cmpd="sng">
              <a:solidFill>
                <a:srgbClr val="CBB7E2">
                  <a:alpha val="100000"/>
                </a:srgbClr>
              </a:solidFill>
            </a:ln>
          </c:spPr>
          <c:cat>
            <c:strRef>
              <c:f>'Annual Totals'!$C$3:$N$3</c:f>
            </c:strRef>
          </c:cat>
          <c:val>
            <c:numRef>
              <c:f>'Annual Totals'!$C$7:$N$7</c:f>
              <c:numCache/>
            </c:numRef>
          </c:val>
        </c:ser>
        <c:axId val="2041243665"/>
        <c:axId val="2060640448"/>
      </c:areaChart>
      <c:catAx>
        <c:axId val="2041243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640448"/>
      </c:catAx>
      <c:valAx>
        <c:axId val="2060640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243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1942"/>
                </a:solidFill>
                <a:latin typeface="+mn-lt"/>
              </a:defRPr>
            </a:pPr>
            <a:r>
              <a:rPr b="1">
                <a:solidFill>
                  <a:srgbClr val="231942"/>
                </a:solidFill>
                <a:latin typeface="+mn-lt"/>
              </a:rPr>
              <a:t>Debts Trend by Month</a:t>
            </a:r>
          </a:p>
        </c:rich>
      </c:tx>
      <c:overlay val="0"/>
    </c:title>
    <c:plotArea>
      <c:layout>
        <c:manualLayout>
          <c:xMode val="edge"/>
          <c:yMode val="edge"/>
          <c:x val="0.10833333333333334"/>
          <c:y val="0.190062838395066"/>
          <c:w val="0.8607500000000001"/>
          <c:h val="0.710879912331027"/>
        </c:manualLayout>
      </c:layout>
      <c:areaChart>
        <c:ser>
          <c:idx val="0"/>
          <c:order val="0"/>
          <c:tx>
            <c:strRef>
              <c:f>'Annual Totals'!$B$8</c:f>
            </c:strRef>
          </c:tx>
          <c:spPr>
            <a:solidFill>
              <a:srgbClr val="7D6994">
                <a:alpha val="10000"/>
              </a:srgbClr>
            </a:solidFill>
            <a:ln cmpd="sng">
              <a:solidFill>
                <a:srgbClr val="7D6994">
                  <a:alpha val="100000"/>
                </a:srgbClr>
              </a:solidFill>
            </a:ln>
          </c:spPr>
          <c:cat>
            <c:strRef>
              <c:f>'Annual Totals'!$C$3:$N$3</c:f>
            </c:strRef>
          </c:cat>
          <c:val>
            <c:numRef>
              <c:f>'Annual Totals'!$C$8:$N$8</c:f>
              <c:numCache/>
            </c:numRef>
          </c:val>
        </c:ser>
        <c:axId val="739614314"/>
        <c:axId val="1855800730"/>
      </c:areaChart>
      <c:catAx>
        <c:axId val="739614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800730"/>
      </c:catAx>
      <c:valAx>
        <c:axId val="1855800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614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1942"/>
                </a:solidFill>
                <a:latin typeface="+mn-lt"/>
              </a:defRPr>
            </a:pPr>
            <a:r>
              <a:rPr b="1">
                <a:solidFill>
                  <a:srgbClr val="231942"/>
                </a:solidFill>
                <a:latin typeface="+mn-lt"/>
              </a:rPr>
              <a:t>Savings Trend by Month</a:t>
            </a:r>
          </a:p>
        </c:rich>
      </c:tx>
      <c:overlay val="0"/>
    </c:title>
    <c:plotArea>
      <c:layout>
        <c:manualLayout>
          <c:xMode val="edge"/>
          <c:yMode val="edge"/>
          <c:x val="0.10833333333333334"/>
          <c:y val="0.190062838395066"/>
          <c:w val="0.8607500000000001"/>
          <c:h val="0.710879912331027"/>
        </c:manualLayout>
      </c:layout>
      <c:areaChart>
        <c:ser>
          <c:idx val="0"/>
          <c:order val="0"/>
          <c:tx>
            <c:strRef>
              <c:f>'Annual Totals'!$B$5</c:f>
            </c:strRef>
          </c:tx>
          <c:spPr>
            <a:solidFill>
              <a:srgbClr val="E4D7F1">
                <a:alpha val="50000"/>
              </a:srgbClr>
            </a:solidFill>
            <a:ln cmpd="sng">
              <a:solidFill>
                <a:srgbClr val="E4D7F1">
                  <a:alpha val="100000"/>
                </a:srgbClr>
              </a:solidFill>
            </a:ln>
          </c:spPr>
          <c:cat>
            <c:strRef>
              <c:f>'Annual Totals'!$C$3:$N$3</c:f>
            </c:strRef>
          </c:cat>
          <c:val>
            <c:numRef>
              <c:f>'Annual Totals'!$C$5:$N$5</c:f>
              <c:numCache/>
            </c:numRef>
          </c:val>
        </c:ser>
        <c:axId val="2069177674"/>
        <c:axId val="982974361"/>
      </c:areaChart>
      <c:catAx>
        <c:axId val="2069177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974361"/>
      </c:catAx>
      <c:valAx>
        <c:axId val="982974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177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31942"/>
                </a:solidFill>
                <a:latin typeface="+mn-lt"/>
              </a:defRPr>
            </a:pPr>
            <a:r>
              <a:rPr b="1">
                <a:solidFill>
                  <a:srgbClr val="231942"/>
                </a:solidFill>
                <a:latin typeface="+mn-lt"/>
              </a:rPr>
              <a:t>End Month Balances Trend by Month</a:t>
            </a:r>
          </a:p>
        </c:rich>
      </c:tx>
      <c:layout>
        <c:manualLayout>
          <c:xMode val="edge"/>
          <c:yMode val="edge"/>
          <c:x val="0.030256410256410255"/>
          <c:y val="0.049999999999999996"/>
        </c:manualLayout>
      </c:layout>
      <c:overlay val="0"/>
    </c:title>
    <c:plotArea>
      <c:layout>
        <c:manualLayout>
          <c:xMode val="edge"/>
          <c:yMode val="edge"/>
          <c:x val="0.10833333333333334"/>
          <c:y val="0.190062838395066"/>
          <c:w val="0.8607500000000001"/>
          <c:h val="0.710879912331027"/>
        </c:manualLayout>
      </c:layout>
      <c:areaChart>
        <c:ser>
          <c:idx val="0"/>
          <c:order val="0"/>
          <c:tx>
            <c:strRef>
              <c:f>'Annual Totals'!$B$9</c:f>
            </c:strRef>
          </c:tx>
          <c:spPr>
            <a:solidFill>
              <a:srgbClr val="E4D7F1">
                <a:alpha val="70000"/>
              </a:srgbClr>
            </a:solidFill>
            <a:ln cmpd="sng">
              <a:solidFill>
                <a:srgbClr val="E4D7F1">
                  <a:alpha val="100000"/>
                </a:srgbClr>
              </a:solidFill>
            </a:ln>
          </c:spPr>
          <c:cat>
            <c:strRef>
              <c:f>'Annual Totals'!$C$3:$N$3</c:f>
            </c:strRef>
          </c:cat>
          <c:val>
            <c:numRef>
              <c:f>'Annual Totals'!$C$9:$N$9</c:f>
              <c:numCache/>
            </c:numRef>
          </c:val>
        </c:ser>
        <c:axId val="1511413910"/>
        <c:axId val="943028386"/>
      </c:areaChart>
      <c:catAx>
        <c:axId val="1511413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028386"/>
      </c:catAx>
      <c:valAx>
        <c:axId val="943028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413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Spending Breakdowm</a:t>
            </a:r>
          </a:p>
        </c:rich>
      </c:tx>
      <c:layout>
        <c:manualLayout>
          <c:xMode val="edge"/>
          <c:yMode val="edge"/>
          <c:x val="0.014250000000000042"/>
          <c:y val="0.04730458221024259"/>
        </c:manualLayout>
      </c:layout>
      <c:overlay val="0"/>
    </c:title>
    <c:plotArea>
      <c:layout>
        <c:manualLayout>
          <c:xMode val="edge"/>
          <c:yMode val="edge"/>
          <c:x val="0.01425000000000004"/>
          <c:y val="0.17194871111435694"/>
          <c:w val="0.5959351851851851"/>
          <c:h val="0.816979808151389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675D85"/>
              </a:solidFill>
            </c:spPr>
          </c:dPt>
          <c:dPt>
            <c:idx val="1"/>
            <c:spPr>
              <a:solidFill>
                <a:srgbClr val="7D6994"/>
              </a:solidFill>
            </c:spPr>
          </c:dPt>
          <c:dPt>
            <c:idx val="2"/>
            <c:spPr>
              <a:solidFill>
                <a:srgbClr val="E4D7F1"/>
              </a:solidFill>
            </c:spPr>
          </c:dPt>
          <c:dPt>
            <c:idx val="3"/>
            <c:spPr>
              <a:solidFill>
                <a:srgbClr val="CBB7E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'Annual Totals'!$B$5:$B$8</c:f>
            </c:strRef>
          </c:cat>
          <c:val>
            <c:numRef>
              <c:f>'Annual Totals'!$N$5:$N$8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77502025462963"/>
          <c:y val="0.211534952101337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Jan!$D$8:$D$9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Jan!$C$10:$C$17</c:f>
            </c:strRef>
          </c:cat>
          <c:val>
            <c:numRef>
              <c:f>Jan!$D$10:$D$17</c:f>
              <c:numCache/>
            </c:numRef>
          </c:val>
        </c:ser>
        <c:axId val="1310907617"/>
        <c:axId val="1671112678"/>
      </c:areaChart>
      <c:catAx>
        <c:axId val="1310907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71112678"/>
      </c:catAx>
      <c:valAx>
        <c:axId val="167111267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310907617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Jan!$H$8:$H$9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Jan!$F$10:$F$29</c:f>
            </c:strRef>
          </c:cat>
          <c:val>
            <c:numRef>
              <c:f>Jan!$H$10:$H$29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Month'!$C$8:$C$9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Month'!$B$10:$B$13</c:f>
            </c:strRef>
          </c:cat>
          <c:val>
            <c:numRef>
              <c:f>'Chart Data for Each Month'!$C$10:$C$13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Month'!$C$2:$C$3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Month'!$B$4:$B$7</c:f>
            </c:strRef>
          </c:cat>
          <c:val>
            <c:numRef>
              <c:f>'Chart Data for Each Month'!$C$4:$C$7</c:f>
              <c:numCache/>
            </c:numRef>
          </c:val>
        </c:ser>
        <c:ser>
          <c:idx val="1"/>
          <c:order val="1"/>
          <c:tx>
            <c:strRef>
              <c:f>'Chart Data for Each Month'!$D$2:$D$3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Month'!$B$4:$B$7</c:f>
            </c:strRef>
          </c:cat>
          <c:val>
            <c:numRef>
              <c:f>'Chart Data for Each Month'!$D$4:$D$7</c:f>
              <c:numCache/>
            </c:numRef>
          </c:val>
        </c:ser>
        <c:axId val="166614973"/>
        <c:axId val="1931574582"/>
      </c:barChart>
      <c:catAx>
        <c:axId val="166614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574582"/>
      </c:catAx>
      <c:valAx>
        <c:axId val="193157458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14973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Feb!$D$8:$D$9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Feb!$C$10:$C$17</c:f>
            </c:strRef>
          </c:cat>
          <c:val>
            <c:numRef>
              <c:f>Feb!$D$10:$D$17</c:f>
              <c:numCache/>
            </c:numRef>
          </c:val>
        </c:ser>
        <c:axId val="916045054"/>
        <c:axId val="148640175"/>
      </c:areaChart>
      <c:catAx>
        <c:axId val="916045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8640175"/>
      </c:catAx>
      <c:valAx>
        <c:axId val="14864017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916045054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Feb!$H$8:$H$9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Feb!$F$10:$F$29</c:f>
            </c:strRef>
          </c:cat>
          <c:val>
            <c:numRef>
              <c:f>Feb!$H$10:$H$29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Month'!$G$8:$G$9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Month'!$F$10:$F$13</c:f>
            </c:strRef>
          </c:cat>
          <c:val>
            <c:numRef>
              <c:f>'Chart Data for Each Month'!$G$10:$G$13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Month'!$G$2:$G$3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Month'!$F$4:$F$7</c:f>
            </c:strRef>
          </c:cat>
          <c:val>
            <c:numRef>
              <c:f>'Chart Data for Each Month'!$G$4:$G$7</c:f>
              <c:numCache/>
            </c:numRef>
          </c:val>
        </c:ser>
        <c:ser>
          <c:idx val="1"/>
          <c:order val="1"/>
          <c:tx>
            <c:strRef>
              <c:f>'Chart Data for Each Month'!$H$2:$H$3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Month'!$F$4:$F$7</c:f>
            </c:strRef>
          </c:cat>
          <c:val>
            <c:numRef>
              <c:f>'Chart Data for Each Month'!$H$4:$H$7</c:f>
              <c:numCache/>
            </c:numRef>
          </c:val>
        </c:ser>
        <c:axId val="119566782"/>
        <c:axId val="1124413366"/>
      </c:barChart>
      <c:catAx>
        <c:axId val="119566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413366"/>
      </c:catAx>
      <c:valAx>
        <c:axId val="11244133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66782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Mar!$D$8:$D$9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Mar!$C$10:$C$17</c:f>
            </c:strRef>
          </c:cat>
          <c:val>
            <c:numRef>
              <c:f>Mar!$D$10:$D$17</c:f>
              <c:numCache/>
            </c:numRef>
          </c:val>
        </c:ser>
        <c:axId val="2015992872"/>
        <c:axId val="1347556755"/>
      </c:areaChart>
      <c:catAx>
        <c:axId val="2015992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347556755"/>
      </c:catAx>
      <c:valAx>
        <c:axId val="134755675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015992872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Mar!$H$8:$H$9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Mar!$F$10:$F$29</c:f>
            </c:strRef>
          </c:cat>
          <c:val>
            <c:numRef>
              <c:f>Mar!$H$10:$H$29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Month'!$K$8:$K$9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Month'!$J$10:$J$13</c:f>
            </c:strRef>
          </c:cat>
          <c:val>
            <c:numRef>
              <c:f>'Chart Data for Each Month'!$K$10:$K$13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Month'!$K$2:$K$3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Month'!$J$4:$J$7</c:f>
            </c:strRef>
          </c:cat>
          <c:val>
            <c:numRef>
              <c:f>'Chart Data for Each Month'!$K$4:$K$7</c:f>
              <c:numCache/>
            </c:numRef>
          </c:val>
        </c:ser>
        <c:ser>
          <c:idx val="1"/>
          <c:order val="1"/>
          <c:tx>
            <c:strRef>
              <c:f>'Chart Data for Each Month'!$L$2:$L$3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Month'!$J$4:$J$7</c:f>
            </c:strRef>
          </c:cat>
          <c:val>
            <c:numRef>
              <c:f>'Chart Data for Each Month'!$L$4:$L$7</c:f>
              <c:numCache/>
            </c:numRef>
          </c:val>
        </c:ser>
        <c:axId val="1481371416"/>
        <c:axId val="1274853062"/>
      </c:barChart>
      <c:catAx>
        <c:axId val="1481371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853062"/>
      </c:catAx>
      <c:valAx>
        <c:axId val="127485306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371416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Apr!$D$8:$D$9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Apr!$C$10:$C$17</c:f>
            </c:strRef>
          </c:cat>
          <c:val>
            <c:numRef>
              <c:f>Apr!$D$10:$D$17</c:f>
              <c:numCache/>
            </c:numRef>
          </c:val>
        </c:ser>
        <c:axId val="1301792590"/>
        <c:axId val="767842653"/>
      </c:areaChart>
      <c:catAx>
        <c:axId val="1301792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767842653"/>
      </c:catAx>
      <c:valAx>
        <c:axId val="76784265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301792590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Apr!$H$8:$H$9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Apr!$F$10:$F$29</c:f>
            </c:strRef>
          </c:cat>
          <c:val>
            <c:numRef>
              <c:f>Apr!$H$10:$H$29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Month'!$O$8:$O$9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Month'!$N$10:$N$13</c:f>
            </c:strRef>
          </c:cat>
          <c:val>
            <c:numRef>
              <c:f>'Chart Data for Each Month'!$O$10:$O$13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Month'!$O$2:$O$3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Month'!$N$4:$N$7</c:f>
            </c:strRef>
          </c:cat>
          <c:val>
            <c:numRef>
              <c:f>'Chart Data for Each Month'!$O$4:$O$7</c:f>
              <c:numCache/>
            </c:numRef>
          </c:val>
        </c:ser>
        <c:ser>
          <c:idx val="1"/>
          <c:order val="1"/>
          <c:tx>
            <c:strRef>
              <c:f>'Chart Data for Each Month'!$P$2:$P$3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Month'!$N$4:$N$7</c:f>
            </c:strRef>
          </c:cat>
          <c:val>
            <c:numRef>
              <c:f>'Chart Data for Each Month'!$P$4:$P$7</c:f>
              <c:numCache/>
            </c:numRef>
          </c:val>
        </c:ser>
        <c:axId val="927461437"/>
        <c:axId val="217662946"/>
      </c:barChart>
      <c:catAx>
        <c:axId val="927461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662946"/>
      </c:catAx>
      <c:valAx>
        <c:axId val="21766294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461437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May!$D$8:$D$9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May!$C$10:$C$17</c:f>
            </c:strRef>
          </c:cat>
          <c:val>
            <c:numRef>
              <c:f>May!$D$10:$D$17</c:f>
              <c:numCache/>
            </c:numRef>
          </c:val>
        </c:ser>
        <c:axId val="1031795639"/>
        <c:axId val="661386526"/>
      </c:areaChart>
      <c:catAx>
        <c:axId val="1031795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661386526"/>
      </c:catAx>
      <c:valAx>
        <c:axId val="66138652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31795639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May!$H$8:$H$9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May!$F$10:$F$29</c:f>
            </c:strRef>
          </c:cat>
          <c:val>
            <c:numRef>
              <c:f>May!$H$10:$H$29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Month'!$S$8:$S$9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Month'!$R$10:$R$13</c:f>
            </c:strRef>
          </c:cat>
          <c:val>
            <c:numRef>
              <c:f>'Chart Data for Each Month'!$S$10:$S$13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Month'!$S$2:$S$3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Month'!$R$4:$R$7</c:f>
            </c:strRef>
          </c:cat>
          <c:val>
            <c:numRef>
              <c:f>'Chart Data for Each Month'!$S$4:$S$7</c:f>
              <c:numCache/>
            </c:numRef>
          </c:val>
        </c:ser>
        <c:ser>
          <c:idx val="1"/>
          <c:order val="1"/>
          <c:tx>
            <c:strRef>
              <c:f>'Chart Data for Each Month'!$T$2:$T$3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Month'!$R$4:$R$7</c:f>
            </c:strRef>
          </c:cat>
          <c:val>
            <c:numRef>
              <c:f>'Chart Data for Each Month'!$T$4:$T$7</c:f>
              <c:numCache/>
            </c:numRef>
          </c:val>
        </c:ser>
        <c:axId val="1072318491"/>
        <c:axId val="1451297615"/>
      </c:barChart>
      <c:catAx>
        <c:axId val="1072318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297615"/>
      </c:catAx>
      <c:valAx>
        <c:axId val="145129761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318491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Jun!$D$8:$D$9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Jun!$C$10:$C$17</c:f>
            </c:strRef>
          </c:cat>
          <c:val>
            <c:numRef>
              <c:f>Jun!$D$10:$D$17</c:f>
              <c:numCache/>
            </c:numRef>
          </c:val>
        </c:ser>
        <c:axId val="104280476"/>
        <c:axId val="781761897"/>
      </c:areaChart>
      <c:catAx>
        <c:axId val="104280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781761897"/>
      </c:catAx>
      <c:valAx>
        <c:axId val="78176189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4280476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Jun!$H$8:$H$9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Jun!$F$10:$F$29</c:f>
            </c:strRef>
          </c:cat>
          <c:val>
            <c:numRef>
              <c:f>Jun!$H$10:$H$29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Month'!$W$8:$W$9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Month'!$V$10:$V$13</c:f>
            </c:strRef>
          </c:cat>
          <c:val>
            <c:numRef>
              <c:f>'Chart Data for Each Month'!$W$10:$W$13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Month'!$W$2:$W$3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Month'!$V$4:$V$7</c:f>
            </c:strRef>
          </c:cat>
          <c:val>
            <c:numRef>
              <c:f>'Chart Data for Each Month'!$W$4:$W$7</c:f>
              <c:numCache/>
            </c:numRef>
          </c:val>
        </c:ser>
        <c:ser>
          <c:idx val="1"/>
          <c:order val="1"/>
          <c:tx>
            <c:strRef>
              <c:f>'Chart Data for Each Month'!$X$2:$X$3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Month'!$V$4:$V$7</c:f>
            </c:strRef>
          </c:cat>
          <c:val>
            <c:numRef>
              <c:f>'Chart Data for Each Month'!$X$4:$X$7</c:f>
              <c:numCache/>
            </c:numRef>
          </c:val>
        </c:ser>
        <c:axId val="592105670"/>
        <c:axId val="1961081131"/>
      </c:barChart>
      <c:catAx>
        <c:axId val="592105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081131"/>
      </c:catAx>
      <c:valAx>
        <c:axId val="196108113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105670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Jul!$D$8:$D$9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Jul!$C$10:$C$17</c:f>
            </c:strRef>
          </c:cat>
          <c:val>
            <c:numRef>
              <c:f>Jul!$D$10:$D$17</c:f>
              <c:numCache/>
            </c:numRef>
          </c:val>
        </c:ser>
        <c:axId val="224974663"/>
        <c:axId val="339410263"/>
      </c:areaChart>
      <c:catAx>
        <c:axId val="224974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339410263"/>
      </c:catAx>
      <c:valAx>
        <c:axId val="33941026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24974663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Jul!$H$8:$H$9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Jul!$F$10:$F$29</c:f>
            </c:strRef>
          </c:cat>
          <c:val>
            <c:numRef>
              <c:f>Jul!$H$10:$H$29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Month'!$C$21:$C$22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Month'!$B$23:$B$26</c:f>
            </c:strRef>
          </c:cat>
          <c:val>
            <c:numRef>
              <c:f>'Chart Data for Each Month'!$C$23:$C$26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Month'!$C$15:$C$16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Month'!$B$17:$B$20</c:f>
            </c:strRef>
          </c:cat>
          <c:val>
            <c:numRef>
              <c:f>'Chart Data for Each Month'!$C$17:$C$20</c:f>
              <c:numCache/>
            </c:numRef>
          </c:val>
        </c:ser>
        <c:ser>
          <c:idx val="1"/>
          <c:order val="1"/>
          <c:tx>
            <c:strRef>
              <c:f>'Chart Data for Each Month'!$D$15:$D$16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Month'!$B$17:$B$20</c:f>
            </c:strRef>
          </c:cat>
          <c:val>
            <c:numRef>
              <c:f>'Chart Data for Each Month'!$D$17:$D$20</c:f>
              <c:numCache/>
            </c:numRef>
          </c:val>
        </c:ser>
        <c:axId val="272738738"/>
        <c:axId val="1586795529"/>
      </c:barChart>
      <c:catAx>
        <c:axId val="272738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795529"/>
      </c:catAx>
      <c:valAx>
        <c:axId val="158679552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738738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Aug!$D$8:$D$9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Aug!$C$10:$C$17</c:f>
            </c:strRef>
          </c:cat>
          <c:val>
            <c:numRef>
              <c:f>Aug!$D$10:$D$17</c:f>
              <c:numCache/>
            </c:numRef>
          </c:val>
        </c:ser>
        <c:axId val="2090252747"/>
        <c:axId val="156354704"/>
      </c:areaChart>
      <c:catAx>
        <c:axId val="2090252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56354704"/>
      </c:catAx>
      <c:valAx>
        <c:axId val="15635470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090252747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Aug!$H$8:$H$9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Aug!$F$10:$F$29</c:f>
            </c:strRef>
          </c:cat>
          <c:val>
            <c:numRef>
              <c:f>Aug!$H$10:$H$29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Month'!$G$21:$G$22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Month'!$F$23:$F$26</c:f>
            </c:strRef>
          </c:cat>
          <c:val>
            <c:numRef>
              <c:f>'Chart Data for Each Month'!$G$23:$G$26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Month'!$G$15:$G$16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'Chart Data for Each Month'!$F$17:$F$20</c:f>
            </c:strRef>
          </c:cat>
          <c:val>
            <c:numRef>
              <c:f>'Chart Data for Each Month'!$G$17:$G$20</c:f>
              <c:numCache/>
            </c:numRef>
          </c:val>
        </c:ser>
        <c:ser>
          <c:idx val="1"/>
          <c:order val="1"/>
          <c:tx>
            <c:strRef>
              <c:f>'Chart Data for Each Month'!$H$15:$H$16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Month'!$F$17:$F$20</c:f>
            </c:strRef>
          </c:cat>
          <c:val>
            <c:numRef>
              <c:f>'Chart Data for Each Month'!$H$17:$H$20</c:f>
              <c:numCache/>
            </c:numRef>
          </c:val>
        </c:ser>
        <c:axId val="1475745952"/>
        <c:axId val="533734123"/>
      </c:barChart>
      <c:catAx>
        <c:axId val="147574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734123"/>
      </c:catAx>
      <c:valAx>
        <c:axId val="53373412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745952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Sep!$D$8:$D$9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Sep!$C$10:$C$17</c:f>
            </c:strRef>
          </c:cat>
          <c:val>
            <c:numRef>
              <c:f>Sep!$D$10:$D$17</c:f>
              <c:numCache/>
            </c:numRef>
          </c:val>
        </c:ser>
        <c:axId val="1994925978"/>
        <c:axId val="613507081"/>
      </c:areaChart>
      <c:catAx>
        <c:axId val="1994925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613507081"/>
      </c:catAx>
      <c:valAx>
        <c:axId val="61350708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994925978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Sep!$H$8:$H$9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Sep!$F$10:$F$29</c:f>
            </c:strRef>
          </c:cat>
          <c:val>
            <c:numRef>
              <c:f>Sep!$H$10:$H$29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Month'!$K$21:$K$22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Month'!$J$23:$J$26</c:f>
            </c:strRef>
          </c:cat>
          <c:val>
            <c:numRef>
              <c:f>'Chart Data for Each Month'!$K$23:$K$26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Month'!$K$15:$K$16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Month'!$J$17:$J$20</c:f>
            </c:strRef>
          </c:cat>
          <c:val>
            <c:numRef>
              <c:f>'Chart Data for Each Month'!$K$17:$K$20</c:f>
              <c:numCache/>
            </c:numRef>
          </c:val>
        </c:ser>
        <c:ser>
          <c:idx val="1"/>
          <c:order val="1"/>
          <c:tx>
            <c:strRef>
              <c:f>'Chart Data for Each Month'!$L$15:$L$16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Month'!$J$17:$J$20</c:f>
            </c:strRef>
          </c:cat>
          <c:val>
            <c:numRef>
              <c:f>'Chart Data for Each Month'!$L$17:$L$20</c:f>
              <c:numCache/>
            </c:numRef>
          </c:val>
        </c:ser>
        <c:axId val="2111076983"/>
        <c:axId val="1723402174"/>
      </c:barChart>
      <c:catAx>
        <c:axId val="2111076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402174"/>
      </c:catAx>
      <c:valAx>
        <c:axId val="172340217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076983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Oct!$D$8:$D$9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Oct!$C$10:$C$17</c:f>
            </c:strRef>
          </c:cat>
          <c:val>
            <c:numRef>
              <c:f>Oct!$D$10:$D$17</c:f>
              <c:numCache/>
            </c:numRef>
          </c:val>
        </c:ser>
        <c:axId val="1661369456"/>
        <c:axId val="1634145463"/>
      </c:areaChart>
      <c:catAx>
        <c:axId val="166136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34145463"/>
      </c:catAx>
      <c:valAx>
        <c:axId val="163414546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61369456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Oct!$H$8:$H$9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Oct!$F$10:$F$29</c:f>
            </c:strRef>
          </c:cat>
          <c:val>
            <c:numRef>
              <c:f>Oct!$H$10:$H$29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Month'!$O$21:$O$22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Month'!$N$23:$N$26</c:f>
            </c:strRef>
          </c:cat>
          <c:val>
            <c:numRef>
              <c:f>'Chart Data for Each Month'!$O$23:$O$26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Month'!$O$15:$O$16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Month'!$N$17:$N$20</c:f>
            </c:strRef>
          </c:cat>
          <c:val>
            <c:numRef>
              <c:f>'Chart Data for Each Month'!$O$17:$O$20</c:f>
              <c:numCache/>
            </c:numRef>
          </c:val>
        </c:ser>
        <c:ser>
          <c:idx val="1"/>
          <c:order val="1"/>
          <c:tx>
            <c:strRef>
              <c:f>'Chart Data for Each Month'!$P$15:$P$16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Month'!$N$17:$N$20</c:f>
            </c:strRef>
          </c:cat>
          <c:val>
            <c:numRef>
              <c:f>'Chart Data for Each Month'!$P$17:$P$20</c:f>
              <c:numCache/>
            </c:numRef>
          </c:val>
        </c:ser>
        <c:axId val="184811765"/>
        <c:axId val="534313338"/>
      </c:barChart>
      <c:catAx>
        <c:axId val="184811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313338"/>
      </c:catAx>
      <c:valAx>
        <c:axId val="53431333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11765"/>
      </c:valAx>
    </c:plotArea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Nov!$D$8:$D$9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Nov!$C$10:$C$17</c:f>
            </c:strRef>
          </c:cat>
          <c:val>
            <c:numRef>
              <c:f>Nov!$D$10:$D$17</c:f>
              <c:numCache/>
            </c:numRef>
          </c:val>
        </c:ser>
        <c:axId val="935309779"/>
        <c:axId val="1759018577"/>
      </c:areaChart>
      <c:catAx>
        <c:axId val="935309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759018577"/>
      </c:catAx>
      <c:valAx>
        <c:axId val="175901857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935309779"/>
      </c:valAx>
    </c:plotArea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Nov!$H$8:$H$9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Nov!$F$10:$F$29</c:f>
            </c:strRef>
          </c:cat>
          <c:val>
            <c:numRef>
              <c:f>Nov!$H$10:$H$29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Month'!$S$21:$S$22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Month'!$R$23:$R$26</c:f>
            </c:strRef>
          </c:cat>
          <c:val>
            <c:numRef>
              <c:f>'Chart Data for Each Month'!$S$23:$S$26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Month'!$S$15:$S$16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Month'!$R$17:$R$20</c:f>
            </c:strRef>
          </c:cat>
          <c:val>
            <c:numRef>
              <c:f>'Chart Data for Each Month'!$S$17:$S$20</c:f>
              <c:numCache/>
            </c:numRef>
          </c:val>
        </c:ser>
        <c:ser>
          <c:idx val="1"/>
          <c:order val="1"/>
          <c:tx>
            <c:strRef>
              <c:f>'Chart Data for Each Month'!$T$15:$T$16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Month'!$R$17:$R$20</c:f>
            </c:strRef>
          </c:cat>
          <c:val>
            <c:numRef>
              <c:f>'Chart Data for Each Month'!$T$17:$T$20</c:f>
              <c:numCache/>
            </c:numRef>
          </c:val>
        </c:ser>
        <c:axId val="1835089137"/>
        <c:axId val="1243132283"/>
      </c:barChart>
      <c:catAx>
        <c:axId val="1835089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132283"/>
      </c:catAx>
      <c:valAx>
        <c:axId val="124313228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089137"/>
      </c:valAx>
    </c:plotArea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Dec!$D$8:$D$9</c:f>
            </c:strRef>
          </c:tx>
          <c:spPr>
            <a:solidFill>
              <a:srgbClr val="CBB7E2">
                <a:alpha val="30000"/>
              </a:srgbClr>
            </a:solidFill>
            <a:ln cmpd="sng" w="19050">
              <a:solidFill>
                <a:srgbClr val="CBB7E2">
                  <a:alpha val="100000"/>
                </a:srgbClr>
              </a:solidFill>
              <a:prstDash val="solid"/>
            </a:ln>
          </c:spPr>
          <c:cat>
            <c:strRef>
              <c:f>Dec!$C$10:$C$17</c:f>
            </c:strRef>
          </c:cat>
          <c:val>
            <c:numRef>
              <c:f>Dec!$D$10:$D$17</c:f>
              <c:numCache/>
            </c:numRef>
          </c:val>
        </c:ser>
        <c:axId val="1570207622"/>
        <c:axId val="987274582"/>
      </c:areaChart>
      <c:catAx>
        <c:axId val="1570207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987274582"/>
      </c:catAx>
      <c:valAx>
        <c:axId val="98727458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570207622"/>
      </c:valAx>
    </c:plotArea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Dec!$H$8:$H$9</c:f>
            </c:strRef>
          </c:tx>
          <c:dPt>
            <c:idx val="0"/>
            <c:spPr>
              <a:solidFill>
                <a:srgbClr val="8E6DBC"/>
              </a:solidFill>
            </c:spPr>
          </c:dPt>
          <c:dPt>
            <c:idx val="1"/>
            <c:spPr>
              <a:solidFill>
                <a:srgbClr val="A78BCB"/>
              </a:solidFill>
            </c:spPr>
          </c:dPt>
          <c:dPt>
            <c:idx val="2"/>
            <c:spPr>
              <a:solidFill>
                <a:srgbClr val="B39AD3"/>
              </a:solidFill>
            </c:spPr>
          </c:dPt>
          <c:dPt>
            <c:idx val="3"/>
            <c:spPr>
              <a:solidFill>
                <a:srgbClr val="BFAADA"/>
              </a:solidFill>
            </c:spPr>
          </c:dPt>
          <c:dPt>
            <c:idx val="4"/>
            <c:spPr>
              <a:solidFill>
                <a:srgbClr val="E4D7F1"/>
              </a:solidFill>
            </c:spPr>
          </c:dPt>
          <c:dPt>
            <c:idx val="5"/>
            <c:spPr>
              <a:solidFill>
                <a:srgbClr val="EFEAF4"/>
              </a:solidFill>
            </c:spPr>
          </c:dPt>
          <c:dPt>
            <c:idx val="6"/>
            <c:spPr>
              <a:solidFill>
                <a:srgbClr val="D8D2DF"/>
              </a:solidFill>
            </c:spPr>
          </c:dPt>
          <c:dPt>
            <c:idx val="7"/>
            <c:spPr>
              <a:solidFill>
                <a:srgbClr val="E1DDE6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Dec!$F$10:$F$29</c:f>
            </c:strRef>
          </c:cat>
          <c:val>
            <c:numRef>
              <c:f>Dec!$H$10:$H$29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450918079096045"/>
          <c:y val="0.132191780821917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'Chart Data for Each Month'!$W$21:$W$22</c:f>
            </c:strRef>
          </c:tx>
          <c:dPt>
            <c:idx val="0"/>
            <c:spPr>
              <a:solidFill>
                <a:srgbClr val="B39AD3"/>
              </a:solidFill>
            </c:spPr>
          </c:dPt>
          <c:dPt>
            <c:idx val="1"/>
            <c:spPr>
              <a:solidFill>
                <a:srgbClr val="8E6DBC"/>
              </a:solidFill>
            </c:spPr>
          </c:dPt>
          <c:dPt>
            <c:idx val="2"/>
            <c:spPr>
              <a:solidFill>
                <a:srgbClr val="CBB7E2"/>
              </a:solidFill>
            </c:spPr>
          </c:dPt>
          <c:dPt>
            <c:idx val="3"/>
            <c:spPr>
              <a:solidFill>
                <a:srgbClr val="EFEA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 for Each Month'!$V$23:$V$26</c:f>
            </c:strRef>
          </c:cat>
          <c:val>
            <c:numRef>
              <c:f>'Chart Data for Each Month'!$W$23:$W$26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Data for Each Month'!$W$15:$W$16</c:f>
            </c:strRef>
          </c:tx>
          <c:spPr>
            <a:solidFill>
              <a:srgbClr val="A78BCB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Month'!$V$17:$V$20</c:f>
            </c:strRef>
          </c:cat>
          <c:val>
            <c:numRef>
              <c:f>'Chart Data for Each Month'!$W$17:$W$20</c:f>
              <c:numCache/>
            </c:numRef>
          </c:val>
        </c:ser>
        <c:ser>
          <c:idx val="1"/>
          <c:order val="1"/>
          <c:tx>
            <c:strRef>
              <c:f>'Chart Data for Each Month'!$X$15:$X$16</c:f>
            </c:strRef>
          </c:tx>
          <c:spPr>
            <a:solidFill>
              <a:srgbClr val="EFEAF4"/>
            </a:solidFill>
            <a:ln cmpd="sng">
              <a:solidFill>
                <a:srgbClr val="000000"/>
              </a:solidFill>
            </a:ln>
          </c:spPr>
          <c:cat>
            <c:strRef>
              <c:f>'Chart Data for Each Month'!$V$17:$V$20</c:f>
            </c:strRef>
          </c:cat>
          <c:val>
            <c:numRef>
              <c:f>'Chart Data for Each Month'!$X$17:$X$20</c:f>
              <c:numCache/>
            </c:numRef>
          </c:val>
        </c:ser>
        <c:axId val="1132742944"/>
        <c:axId val="558881363"/>
      </c:barChart>
      <c:catAx>
        <c:axId val="1132742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881363"/>
      </c:catAx>
      <c:valAx>
        <c:axId val="55888136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74294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5" Type="http://schemas.openxmlformats.org/officeDocument/2006/relationships/image" Target="../media/Chart5.png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Relationship Id="rId3" Type="http://schemas.openxmlformats.org/officeDocument/2006/relationships/chart" Target="../charts/chart47.xml"/><Relationship Id="rId4" Type="http://schemas.openxmlformats.org/officeDocument/2006/relationships/chart" Target="../charts/chart48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Relationship Id="rId4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2</xdr:row>
      <xdr:rowOff>28575</xdr:rowOff>
    </xdr:from>
    <xdr:ext cx="5229225" cy="35242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5229225</xdr:colOff>
      <xdr:row>1</xdr:row>
      <xdr:rowOff>752475</xdr:rowOff>
    </xdr:from>
    <xdr:ext cx="5572125" cy="35623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323850</xdr:colOff>
      <xdr:row>2</xdr:row>
      <xdr:rowOff>3552825</xdr:rowOff>
    </xdr:from>
    <xdr:ext cx="5276850" cy="35623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5553075</xdr:colOff>
      <xdr:row>2</xdr:row>
      <xdr:rowOff>3552825</xdr:rowOff>
    </xdr:from>
    <xdr:ext cx="5276850" cy="35623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9525</xdr:colOff>
      <xdr:row>2</xdr:row>
      <xdr:rowOff>3571875</xdr:rowOff>
    </xdr:from>
    <xdr:ext cx="5715000" cy="3533775"/>
    <xdr:pic>
      <xdr:nvPicPr>
        <xdr:cNvPr id="190994259" name="Chart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3</xdr:row>
      <xdr:rowOff>3552825</xdr:rowOff>
    </xdr:from>
    <xdr:ext cx="5276850" cy="356235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5553075</xdr:colOff>
      <xdr:row>1</xdr:row>
      <xdr:rowOff>742950</xdr:rowOff>
    </xdr:from>
    <xdr:ext cx="5276850" cy="356235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5229225</xdr:colOff>
      <xdr:row>3</xdr:row>
      <xdr:rowOff>3552825</xdr:rowOff>
    </xdr:from>
    <xdr:ext cx="5572125" cy="3562350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5553075</xdr:colOff>
      <xdr:row>3</xdr:row>
      <xdr:rowOff>3552825</xdr:rowOff>
    </xdr:from>
    <xdr:ext cx="56007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26" name="Chart 2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27" name="Chart 2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28" name="Chart 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29" name="Chart 2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30" name="Chart 3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31" name="Chart 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32" name="Chart 3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33" name="Chart 3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34" name="Chart 3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35" name="Chart 3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36" name="Chart 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37" name="Chart 3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38" name="Chart 3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39" name="Chart 3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40" name="Chart 4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41" name="Chart 4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42" name="Chart 4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43" name="Chart 4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44" name="Chart 4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45" name="Chart 4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46" name="Chart 4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47" name="Chart 4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48" name="Chart 4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49" name="Chart 4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50" name="Chart 5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51" name="Chart 5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52" name="Chart 5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53" name="Chart 5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0</xdr:rowOff>
    </xdr:from>
    <xdr:ext cx="3286125" cy="2085975"/>
    <xdr:graphicFrame>
      <xdr:nvGraphicFramePr>
        <xdr:cNvPr id="54" name="Chart 5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5</xdr:row>
      <xdr:rowOff>0</xdr:rowOff>
    </xdr:from>
    <xdr:ext cx="3324225" cy="2085975"/>
    <xdr:graphicFrame>
      <xdr:nvGraphicFramePr>
        <xdr:cNvPr id="55" name="Chart 5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19050</xdr:colOff>
      <xdr:row>5</xdr:row>
      <xdr:rowOff>0</xdr:rowOff>
    </xdr:from>
    <xdr:ext cx="3286125" cy="2085975"/>
    <xdr:graphicFrame>
      <xdr:nvGraphicFramePr>
        <xdr:cNvPr id="56" name="Chart 5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9525</xdr:colOff>
      <xdr:row>5</xdr:row>
      <xdr:rowOff>0</xdr:rowOff>
    </xdr:from>
    <xdr:ext cx="3324225" cy="2085975"/>
    <xdr:graphicFrame>
      <xdr:nvGraphicFramePr>
        <xdr:cNvPr id="57" name="Chart 5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68.88"/>
    <col customWidth="1" min="3" max="3" width="73.25"/>
    <col customWidth="1" min="4" max="4" width="74.88"/>
    <col customWidth="1" min="5" max="5" width="9.38"/>
    <col customWidth="1" min="6" max="106" width="4.5"/>
  </cols>
  <sheetData>
    <row r="1" ht="26.2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</row>
    <row r="2" ht="60.0" customHeight="1">
      <c r="A2" s="4"/>
      <c r="B2" s="5" t="s">
        <v>0</v>
      </c>
      <c r="C2" s="6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</row>
    <row r="3" ht="281.25" customHeight="1">
      <c r="A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</row>
    <row r="4" ht="281.25" customHeight="1">
      <c r="A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</row>
    <row r="5" ht="281.25" customHeight="1">
      <c r="A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</row>
    <row r="6" ht="26.25" customHeight="1">
      <c r="A6" s="3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</row>
    <row r="7" ht="26.25" customHeight="1">
      <c r="A7" s="3"/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</row>
    <row r="8" ht="26.25" customHeight="1">
      <c r="A8" s="3"/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</row>
    <row r="9" ht="26.25" customHeight="1">
      <c r="A9" s="3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</row>
    <row r="10" ht="26.25" customHeight="1">
      <c r="A10" s="3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</row>
    <row r="11" ht="26.25" customHeight="1">
      <c r="A11" s="3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</row>
    <row r="12" ht="26.25" customHeight="1">
      <c r="A12" s="3"/>
      <c r="B12" s="2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</row>
    <row r="13" ht="26.25" customHeight="1">
      <c r="A13" s="3"/>
      <c r="B13" s="2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</row>
    <row r="14" ht="26.25" customHeight="1">
      <c r="A14" s="3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</row>
    <row r="15" ht="26.25" customHeight="1">
      <c r="A15" s="3"/>
      <c r="B15" s="2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</row>
    <row r="16" ht="26.25" customHeight="1">
      <c r="A16" s="3"/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</row>
    <row r="17" ht="26.25" customHeight="1">
      <c r="A17" s="3"/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</row>
    <row r="18" ht="26.25" customHeight="1">
      <c r="A18" s="3"/>
      <c r="B18" s="2"/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</row>
    <row r="19" ht="26.25" customHeight="1">
      <c r="A19" s="3"/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</row>
    <row r="20" ht="26.25" customHeight="1">
      <c r="A20" s="3"/>
      <c r="B20" s="2"/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</row>
    <row r="21" ht="26.25" customHeight="1">
      <c r="A21" s="3"/>
      <c r="B21" s="2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</row>
    <row r="22" ht="26.25" customHeight="1">
      <c r="A22" s="3"/>
      <c r="B22" s="2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</row>
    <row r="23" ht="26.25" customHeight="1">
      <c r="A23" s="3"/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</row>
    <row r="24" ht="26.25" customHeight="1">
      <c r="A24" s="3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</row>
    <row r="25" ht="26.25" customHeight="1">
      <c r="A25" s="3"/>
      <c r="B25" s="2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</row>
    <row r="26" ht="26.25" customHeight="1">
      <c r="A26" s="3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</row>
    <row r="27" ht="26.25" customHeight="1">
      <c r="A27" s="3"/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</row>
    <row r="28" ht="26.25" customHeight="1">
      <c r="A28" s="3"/>
      <c r="B28" s="2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</row>
    <row r="29" ht="26.25" customHeight="1">
      <c r="A29" s="3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</row>
    <row r="30" ht="26.25" customHeight="1">
      <c r="A30" s="3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</row>
    <row r="31" ht="26.25" customHeight="1">
      <c r="A31" s="3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</row>
    <row r="32" ht="26.25" customHeight="1">
      <c r="A32" s="3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</row>
    <row r="33" ht="26.25" customHeight="1">
      <c r="A33" s="3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</row>
    <row r="34" ht="26.25" customHeight="1">
      <c r="A34" s="3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</row>
    <row r="35" ht="26.25" customHeight="1">
      <c r="A35" s="3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</row>
    <row r="36" ht="26.25" customHeight="1">
      <c r="A36" s="3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</row>
    <row r="37" ht="26.25" customHeight="1">
      <c r="A37" s="3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</row>
    <row r="38" ht="26.25" customHeight="1">
      <c r="A38" s="3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</row>
    <row r="39" ht="26.25" customHeight="1">
      <c r="A39" s="3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</row>
    <row r="40" ht="26.25" customHeight="1">
      <c r="A40" s="3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</row>
    <row r="41" ht="26.25" customHeight="1">
      <c r="A41" s="3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</row>
    <row r="42" ht="26.25" customHeight="1">
      <c r="A42" s="3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</row>
    <row r="43" ht="26.25" customHeight="1">
      <c r="A43" s="3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</row>
    <row r="44" ht="26.25" customHeight="1">
      <c r="A44" s="3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</row>
    <row r="45" ht="26.25" customHeight="1">
      <c r="A45" s="3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</row>
    <row r="46" ht="26.25" customHeight="1">
      <c r="A46" s="3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</row>
    <row r="47" ht="26.25" customHeight="1">
      <c r="A47" s="3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</row>
    <row r="48" ht="26.25" customHeight="1">
      <c r="A48" s="3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</row>
    <row r="49" ht="26.25" customHeight="1">
      <c r="A49" s="3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</row>
    <row r="50" ht="26.25" customHeight="1">
      <c r="A50" s="3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</row>
    <row r="51" ht="26.25" customHeight="1">
      <c r="A51" s="3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</row>
    <row r="52" ht="26.25" customHeight="1">
      <c r="A52" s="3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</row>
    <row r="53" ht="26.25" customHeight="1">
      <c r="A53" s="3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</row>
    <row r="54" ht="26.25" customHeight="1">
      <c r="A54" s="3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</row>
    <row r="55" ht="26.25" customHeight="1">
      <c r="A55" s="3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</row>
    <row r="56" ht="26.25" customHeight="1">
      <c r="A56" s="3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</row>
    <row r="57" ht="26.25" customHeight="1">
      <c r="A57" s="3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</row>
    <row r="58" ht="26.25" customHeight="1">
      <c r="A58" s="3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</row>
    <row r="59" ht="26.25" customHeight="1">
      <c r="A59" s="3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</row>
    <row r="60" ht="26.25" customHeight="1">
      <c r="A60" s="3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</row>
    <row r="61" ht="26.25" customHeight="1">
      <c r="A61" s="3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</row>
    <row r="62" ht="26.25" customHeight="1">
      <c r="A62" s="3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</row>
    <row r="63" ht="26.25" customHeight="1">
      <c r="A63" s="3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</row>
    <row r="64" ht="26.25" customHeight="1">
      <c r="A64" s="3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</row>
    <row r="65" ht="26.25" customHeight="1">
      <c r="A65" s="3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</row>
    <row r="66" ht="26.25" customHeight="1">
      <c r="A66" s="3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</row>
    <row r="67" ht="26.25" customHeight="1">
      <c r="A67" s="3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</row>
    <row r="68" ht="26.25" customHeight="1">
      <c r="A68" s="3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</row>
    <row r="69" ht="26.25" customHeight="1">
      <c r="A69" s="3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</row>
    <row r="70" ht="26.25" customHeight="1">
      <c r="A70" s="3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</row>
    <row r="71" ht="26.25" customHeight="1">
      <c r="A71" s="3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</row>
    <row r="72" ht="26.25" customHeight="1">
      <c r="A72" s="3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</row>
    <row r="73" ht="26.25" customHeight="1">
      <c r="A73" s="3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</row>
    <row r="74" ht="26.25" customHeight="1">
      <c r="A74" s="3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</row>
    <row r="75" ht="26.25" customHeight="1">
      <c r="A75" s="3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</row>
    <row r="76" ht="26.25" customHeight="1">
      <c r="A76" s="3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</row>
    <row r="77" ht="26.25" customHeight="1">
      <c r="A77" s="3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</row>
    <row r="78" ht="26.25" customHeight="1">
      <c r="A78" s="3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</row>
    <row r="79" ht="26.25" customHeight="1">
      <c r="A79" s="3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</row>
    <row r="80" ht="26.25" customHeight="1">
      <c r="A80" s="3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</row>
    <row r="81" ht="26.25" customHeight="1">
      <c r="A81" s="3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</row>
    <row r="82" ht="26.25" customHeight="1">
      <c r="A82" s="3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</row>
    <row r="83" ht="26.25" customHeight="1">
      <c r="A83" s="3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</row>
    <row r="84" ht="26.25" customHeight="1">
      <c r="A84" s="3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</row>
    <row r="85" ht="26.25" customHeight="1">
      <c r="A85" s="3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</row>
    <row r="86" ht="26.25" customHeight="1">
      <c r="A86" s="3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</row>
    <row r="87" ht="26.25" customHeight="1">
      <c r="A87" s="3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</row>
    <row r="88" ht="26.25" customHeight="1">
      <c r="A88" s="3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</row>
    <row r="89" ht="26.25" customHeight="1">
      <c r="A89" s="3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</row>
    <row r="90" ht="26.25" customHeight="1">
      <c r="A90" s="3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</row>
    <row r="91" ht="26.25" customHeight="1">
      <c r="A91" s="3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</row>
    <row r="92" ht="26.25" customHeight="1">
      <c r="A92" s="3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</row>
    <row r="93" ht="26.25" customHeight="1">
      <c r="A93" s="3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</row>
    <row r="94" ht="26.25" customHeight="1">
      <c r="A94" s="3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</row>
    <row r="95" ht="26.25" customHeight="1">
      <c r="A95" s="3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</row>
    <row r="96" ht="26.25" customHeight="1">
      <c r="A96" s="3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</row>
    <row r="97" ht="26.25" customHeight="1">
      <c r="A97" s="3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</row>
    <row r="98" ht="26.25" customHeight="1">
      <c r="A98" s="3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</row>
    <row r="99" ht="26.25" customHeight="1">
      <c r="A99" s="3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</row>
    <row r="100" ht="26.25" customHeight="1">
      <c r="A100" s="3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</row>
    <row r="101" ht="26.25" customHeight="1">
      <c r="A101" s="3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</row>
    <row r="102" ht="26.25" customHeight="1">
      <c r="A102" s="3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</row>
    <row r="103" ht="26.25" customHeight="1">
      <c r="A103" s="3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</row>
    <row r="104" ht="26.25" customHeight="1">
      <c r="A104" s="3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</row>
    <row r="105" ht="26.25" customHeight="1">
      <c r="A105" s="3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</row>
    <row r="106" ht="26.25" customHeight="1">
      <c r="A106" s="3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</row>
    <row r="107" ht="26.25" customHeight="1">
      <c r="A107" s="3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</row>
    <row r="108" ht="26.25" customHeight="1">
      <c r="A108" s="3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</row>
    <row r="109" ht="26.25" customHeight="1">
      <c r="A109" s="3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</row>
    <row r="110" ht="26.25" customHeight="1">
      <c r="A110" s="3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</row>
    <row r="111" ht="26.25" customHeight="1">
      <c r="A111" s="3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</row>
    <row r="112" ht="26.25" customHeight="1">
      <c r="A112" s="3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</row>
    <row r="113" ht="26.25" customHeight="1">
      <c r="A113" s="3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</row>
    <row r="114" ht="26.25" customHeight="1">
      <c r="A114" s="3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</row>
    <row r="115" ht="26.25" customHeight="1">
      <c r="A115" s="3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</row>
    <row r="116" ht="26.25" customHeight="1">
      <c r="A116" s="3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</row>
    <row r="117" ht="26.25" customHeight="1">
      <c r="A117" s="3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</row>
    <row r="118" ht="26.25" customHeight="1">
      <c r="A118" s="3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</row>
    <row r="119" ht="26.25" customHeight="1">
      <c r="A119" s="3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</row>
    <row r="120" ht="26.25" customHeight="1">
      <c r="A120" s="3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</row>
    <row r="121" ht="26.25" customHeight="1">
      <c r="A121" s="3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</row>
    <row r="122" ht="26.25" customHeight="1">
      <c r="A122" s="3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</row>
    <row r="123" ht="26.25" customHeight="1">
      <c r="A123" s="3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</row>
    <row r="124" ht="26.25" customHeight="1">
      <c r="A124" s="3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</row>
    <row r="125" ht="26.25" customHeight="1">
      <c r="A125" s="3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</row>
    <row r="126" ht="26.25" customHeight="1">
      <c r="A126" s="3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</row>
    <row r="127" ht="26.25" customHeight="1">
      <c r="A127" s="3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</row>
    <row r="128" ht="26.25" customHeight="1">
      <c r="A128" s="3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</row>
    <row r="129" ht="26.25" customHeight="1">
      <c r="A129" s="3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</row>
    <row r="130" ht="26.25" customHeight="1">
      <c r="A130" s="3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</row>
    <row r="131" ht="26.25" customHeight="1">
      <c r="A131" s="3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</row>
    <row r="132" ht="26.25" customHeight="1">
      <c r="A132" s="3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</row>
    <row r="133" ht="26.25" customHeight="1">
      <c r="A133" s="3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</row>
    <row r="134" ht="26.25" customHeight="1">
      <c r="A134" s="3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</row>
    <row r="135" ht="26.25" customHeight="1">
      <c r="A135" s="3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</row>
    <row r="136" ht="26.25" customHeight="1">
      <c r="A136" s="3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</row>
    <row r="137" ht="26.25" customHeight="1">
      <c r="A137" s="3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</row>
    <row r="138" ht="26.25" customHeight="1">
      <c r="A138" s="3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</row>
    <row r="139" ht="26.25" customHeight="1">
      <c r="A139" s="3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</row>
    <row r="140" ht="26.25" customHeight="1">
      <c r="A140" s="3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</row>
    <row r="141" ht="26.25" customHeight="1">
      <c r="A141" s="3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</row>
    <row r="142" ht="26.25" customHeight="1">
      <c r="A142" s="3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</row>
    <row r="143" ht="26.25" customHeight="1">
      <c r="A143" s="3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</row>
    <row r="144" ht="26.25" customHeight="1">
      <c r="A144" s="3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</row>
    <row r="145" ht="26.25" customHeight="1">
      <c r="A145" s="3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</row>
    <row r="146" ht="26.25" customHeight="1">
      <c r="A146" s="3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</row>
    <row r="147" ht="26.25" customHeight="1">
      <c r="A147" s="3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</row>
    <row r="148" ht="26.25" customHeight="1">
      <c r="A148" s="3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</row>
    <row r="149" ht="26.25" customHeight="1">
      <c r="A149" s="3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</row>
    <row r="150" ht="26.25" customHeight="1">
      <c r="A150" s="3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</row>
    <row r="151" ht="26.25" customHeight="1">
      <c r="A151" s="3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</row>
    <row r="152" ht="26.25" customHeight="1">
      <c r="A152" s="3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</row>
    <row r="153" ht="26.25" customHeight="1">
      <c r="A153" s="3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</row>
    <row r="154" ht="26.25" customHeight="1">
      <c r="A154" s="3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</row>
    <row r="155" ht="26.25" customHeight="1">
      <c r="A155" s="3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</row>
    <row r="156" ht="26.25" customHeight="1">
      <c r="A156" s="3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</row>
    <row r="157" ht="26.25" customHeight="1">
      <c r="A157" s="3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</row>
    <row r="158" ht="26.25" customHeight="1">
      <c r="A158" s="3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</row>
    <row r="159" ht="26.25" customHeight="1">
      <c r="A159" s="3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</row>
    <row r="160" ht="26.25" customHeight="1">
      <c r="A160" s="3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</row>
    <row r="161" ht="26.25" customHeight="1">
      <c r="A161" s="3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</row>
    <row r="162" ht="26.25" customHeight="1">
      <c r="A162" s="3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</row>
    <row r="163" ht="26.25" customHeight="1">
      <c r="A163" s="3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</row>
    <row r="164" ht="26.25" customHeight="1">
      <c r="A164" s="3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</row>
    <row r="165" ht="26.25" customHeight="1">
      <c r="A165" s="3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</row>
    <row r="166" ht="26.25" customHeight="1">
      <c r="A166" s="3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</row>
    <row r="167" ht="26.25" customHeight="1">
      <c r="A167" s="3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</row>
    <row r="168" ht="26.25" customHeight="1">
      <c r="A168" s="3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</row>
    <row r="169" ht="26.25" customHeight="1">
      <c r="A169" s="3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</row>
    <row r="170" ht="26.25" customHeight="1">
      <c r="A170" s="3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</row>
    <row r="171" ht="26.25" customHeight="1">
      <c r="A171" s="3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</row>
    <row r="172" ht="26.25" customHeight="1">
      <c r="A172" s="3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</row>
    <row r="173" ht="26.25" customHeight="1">
      <c r="A173" s="3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</row>
    <row r="174" ht="26.25" customHeight="1">
      <c r="A174" s="3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</row>
    <row r="175" ht="26.25" customHeight="1">
      <c r="A175" s="3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</row>
    <row r="176" ht="26.25" customHeight="1">
      <c r="A176" s="3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</row>
    <row r="177" ht="26.25" customHeight="1">
      <c r="A177" s="3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</row>
    <row r="178" ht="26.25" customHeight="1">
      <c r="A178" s="3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</row>
    <row r="179" ht="26.25" customHeight="1">
      <c r="A179" s="3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</row>
    <row r="180" ht="26.25" customHeight="1">
      <c r="A180" s="3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</row>
    <row r="181" ht="26.25" customHeight="1">
      <c r="A181" s="3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</row>
    <row r="182" ht="26.25" customHeight="1">
      <c r="A182" s="3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</row>
    <row r="183" ht="26.25" customHeight="1">
      <c r="A183" s="3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</row>
    <row r="184" ht="26.25" customHeight="1">
      <c r="A184" s="3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</row>
    <row r="185" ht="26.25" customHeight="1">
      <c r="A185" s="3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</row>
    <row r="186" ht="26.25" customHeight="1">
      <c r="A186" s="3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</row>
    <row r="187" ht="26.25" customHeight="1">
      <c r="A187" s="3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</row>
    <row r="188" ht="26.25" customHeight="1">
      <c r="A188" s="3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</row>
    <row r="189" ht="26.25" customHeight="1">
      <c r="A189" s="3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</row>
    <row r="190" ht="26.25" customHeight="1">
      <c r="A190" s="3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</row>
    <row r="191" ht="26.25" customHeight="1">
      <c r="A191" s="3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</row>
    <row r="192" ht="26.25" customHeight="1">
      <c r="A192" s="3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</row>
    <row r="193" ht="26.25" customHeight="1">
      <c r="A193" s="3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</row>
    <row r="194" ht="26.25" customHeight="1">
      <c r="A194" s="3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</row>
    <row r="195" ht="26.25" customHeight="1">
      <c r="A195" s="3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</row>
    <row r="196" ht="26.25" customHeight="1">
      <c r="A196" s="3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</row>
    <row r="197" ht="26.25" customHeight="1">
      <c r="A197" s="3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</row>
    <row r="198" ht="26.25" customHeight="1">
      <c r="A198" s="3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</row>
    <row r="199" ht="26.25" customHeight="1">
      <c r="A199" s="3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</row>
    <row r="200" ht="26.25" customHeight="1">
      <c r="A200" s="3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</row>
    <row r="201" ht="26.25" customHeight="1">
      <c r="A201" s="3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</row>
    <row r="202" ht="26.25" customHeight="1">
      <c r="A202" s="3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</row>
    <row r="203" ht="26.25" customHeight="1">
      <c r="A203" s="3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</row>
    <row r="204" ht="26.25" customHeight="1">
      <c r="A204" s="3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</row>
    <row r="205" ht="26.25" customHeight="1">
      <c r="A205" s="3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</row>
    <row r="206" ht="26.25" customHeight="1">
      <c r="A206" s="3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</row>
    <row r="207" ht="26.25" customHeight="1">
      <c r="A207" s="3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</row>
    <row r="208" ht="26.25" customHeight="1">
      <c r="A208" s="3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</row>
    <row r="209" ht="26.25" customHeight="1">
      <c r="A209" s="3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</row>
    <row r="210" ht="26.25" customHeight="1">
      <c r="A210" s="3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</row>
    <row r="211" ht="26.25" customHeight="1">
      <c r="A211" s="3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</row>
    <row r="212" ht="26.25" customHeight="1">
      <c r="A212" s="3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</row>
    <row r="213" ht="26.25" customHeight="1">
      <c r="A213" s="3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</row>
    <row r="214" ht="26.25" customHeight="1">
      <c r="A214" s="3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</row>
    <row r="215" ht="26.25" customHeight="1">
      <c r="A215" s="3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</row>
    <row r="216" ht="26.25" customHeight="1">
      <c r="A216" s="3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</row>
    <row r="217" ht="26.25" customHeight="1">
      <c r="A217" s="3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</row>
    <row r="218" ht="26.25" customHeight="1">
      <c r="A218" s="3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</row>
    <row r="219" ht="26.25" customHeight="1">
      <c r="A219" s="3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</row>
    <row r="220" ht="26.25" customHeight="1">
      <c r="A220" s="3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</row>
    <row r="221" ht="26.25" customHeight="1">
      <c r="A221" s="3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</row>
    <row r="222" ht="26.25" customHeight="1">
      <c r="A222" s="3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</row>
    <row r="223" ht="26.25" customHeight="1">
      <c r="A223" s="3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</row>
    <row r="224" ht="26.25" customHeight="1">
      <c r="A224" s="3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</row>
    <row r="225" ht="26.25" customHeight="1">
      <c r="A225" s="3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</row>
    <row r="226" ht="26.25" customHeight="1">
      <c r="A226" s="3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</row>
    <row r="227" ht="26.25" customHeight="1">
      <c r="A227" s="3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</row>
    <row r="228" ht="26.25" customHeight="1">
      <c r="A228" s="3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</row>
    <row r="229" ht="26.25" customHeight="1">
      <c r="A229" s="3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</row>
    <row r="230" ht="26.25" customHeight="1">
      <c r="A230" s="3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</row>
    <row r="231" ht="26.25" customHeight="1">
      <c r="A231" s="3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</row>
    <row r="232" ht="26.25" customHeight="1">
      <c r="A232" s="3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</row>
    <row r="233" ht="26.25" customHeight="1">
      <c r="A233" s="3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</row>
    <row r="234" ht="26.25" customHeight="1">
      <c r="A234" s="3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</row>
    <row r="235" ht="26.25" customHeight="1">
      <c r="A235" s="3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</row>
    <row r="236" ht="26.25" customHeight="1">
      <c r="A236" s="3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</row>
    <row r="237" ht="26.25" customHeight="1">
      <c r="A237" s="3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</row>
    <row r="238" ht="26.25" customHeight="1">
      <c r="A238" s="3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</row>
    <row r="239" ht="26.25" customHeight="1">
      <c r="A239" s="3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</row>
    <row r="240" ht="26.25" customHeight="1">
      <c r="A240" s="3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</row>
    <row r="241" ht="26.25" customHeight="1">
      <c r="A241" s="3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</row>
    <row r="242" ht="26.25" customHeight="1">
      <c r="A242" s="3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</row>
    <row r="243" ht="26.25" customHeight="1">
      <c r="A243" s="3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</row>
    <row r="244" ht="26.25" customHeight="1">
      <c r="A244" s="3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</row>
    <row r="245" ht="26.25" customHeight="1">
      <c r="A245" s="3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</row>
    <row r="246" ht="26.25" customHeight="1">
      <c r="A246" s="3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</row>
    <row r="247" ht="26.25" customHeight="1">
      <c r="A247" s="3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</row>
    <row r="248" ht="26.25" customHeight="1">
      <c r="A248" s="3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</row>
    <row r="249" ht="26.25" customHeight="1">
      <c r="A249" s="3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</row>
    <row r="250" ht="26.25" customHeight="1">
      <c r="A250" s="3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</row>
    <row r="251" ht="26.25" customHeight="1">
      <c r="A251" s="3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</row>
    <row r="252" ht="26.25" customHeight="1">
      <c r="A252" s="3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</row>
    <row r="253" ht="26.25" customHeight="1">
      <c r="A253" s="3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</row>
    <row r="254" ht="26.25" customHeight="1">
      <c r="A254" s="3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</row>
    <row r="255" ht="26.25" customHeight="1">
      <c r="A255" s="3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</row>
    <row r="256" ht="26.25" customHeight="1">
      <c r="A256" s="3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</row>
    <row r="257" ht="26.25" customHeight="1">
      <c r="A257" s="3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</row>
    <row r="258" ht="26.25" customHeight="1">
      <c r="A258" s="3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</row>
    <row r="259" ht="26.25" customHeight="1">
      <c r="A259" s="3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</row>
    <row r="260" ht="26.25" customHeight="1">
      <c r="A260" s="3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</row>
    <row r="261" ht="26.25" customHeight="1">
      <c r="A261" s="3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</row>
    <row r="262" ht="26.25" customHeight="1">
      <c r="A262" s="3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</row>
    <row r="263" ht="26.25" customHeight="1">
      <c r="A263" s="3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</row>
    <row r="264" ht="26.25" customHeight="1">
      <c r="A264" s="3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</row>
    <row r="265" ht="26.25" customHeight="1">
      <c r="A265" s="3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</row>
    <row r="266" ht="26.25" customHeight="1">
      <c r="A266" s="3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</row>
    <row r="267" ht="26.25" customHeight="1">
      <c r="A267" s="3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</row>
    <row r="268" ht="26.25" customHeight="1">
      <c r="A268" s="3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</row>
    <row r="269" ht="26.25" customHeight="1">
      <c r="A269" s="3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</row>
    <row r="270" ht="26.25" customHeight="1">
      <c r="A270" s="3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</row>
    <row r="271" ht="26.25" customHeight="1">
      <c r="A271" s="3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</row>
    <row r="272" ht="26.25" customHeight="1">
      <c r="A272" s="3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</row>
    <row r="273" ht="26.25" customHeight="1">
      <c r="A273" s="3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</row>
    <row r="274" ht="26.25" customHeight="1">
      <c r="A274" s="3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</row>
    <row r="275" ht="26.25" customHeight="1">
      <c r="A275" s="3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</row>
    <row r="276" ht="26.25" customHeight="1">
      <c r="A276" s="3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</row>
    <row r="277" ht="26.25" customHeight="1">
      <c r="A277" s="3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</row>
    <row r="278" ht="26.25" customHeight="1">
      <c r="A278" s="3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</row>
    <row r="279" ht="26.25" customHeight="1">
      <c r="A279" s="3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</row>
    <row r="280" ht="26.25" customHeight="1">
      <c r="A280" s="3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</row>
    <row r="281" ht="26.25" customHeight="1">
      <c r="A281" s="3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</row>
    <row r="282" ht="26.25" customHeight="1">
      <c r="A282" s="3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</row>
    <row r="283" ht="26.25" customHeight="1">
      <c r="A283" s="3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</row>
    <row r="284" ht="26.25" customHeight="1">
      <c r="A284" s="3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</row>
    <row r="285" ht="26.25" customHeight="1">
      <c r="A285" s="3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</row>
    <row r="286" ht="26.25" customHeight="1">
      <c r="A286" s="3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</row>
    <row r="287" ht="26.25" customHeight="1">
      <c r="A287" s="3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</row>
    <row r="288" ht="26.25" customHeight="1">
      <c r="A288" s="3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</row>
    <row r="289" ht="26.25" customHeight="1">
      <c r="A289" s="3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</row>
    <row r="290" ht="26.25" customHeight="1">
      <c r="A290" s="3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</row>
    <row r="291" ht="26.25" customHeight="1">
      <c r="A291" s="3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</row>
    <row r="292" ht="26.25" customHeight="1">
      <c r="A292" s="3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</row>
    <row r="293" ht="26.25" customHeight="1">
      <c r="A293" s="3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</row>
    <row r="294" ht="26.25" customHeight="1">
      <c r="A294" s="3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</row>
    <row r="295" ht="26.25" customHeight="1">
      <c r="A295" s="3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</row>
    <row r="296" ht="26.25" customHeight="1">
      <c r="A296" s="3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</row>
    <row r="297" ht="26.25" customHeight="1">
      <c r="A297" s="3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</row>
    <row r="298" ht="26.25" customHeight="1">
      <c r="A298" s="3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</row>
    <row r="299" ht="26.25" customHeight="1">
      <c r="A299" s="3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</row>
    <row r="300" ht="26.25" customHeight="1">
      <c r="A300" s="3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</row>
    <row r="301" ht="26.25" customHeight="1">
      <c r="A301" s="3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</row>
    <row r="302" ht="26.25" customHeight="1">
      <c r="A302" s="3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</row>
    <row r="303" ht="26.25" customHeight="1">
      <c r="A303" s="3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</row>
    <row r="304" ht="26.25" customHeight="1">
      <c r="A304" s="3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</row>
    <row r="305" ht="26.25" customHeight="1">
      <c r="A305" s="3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</row>
    <row r="306" ht="26.25" customHeight="1">
      <c r="A306" s="3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</row>
    <row r="307" ht="26.25" customHeight="1">
      <c r="A307" s="3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</row>
    <row r="308" ht="26.25" customHeight="1">
      <c r="A308" s="3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</row>
    <row r="309" ht="26.25" customHeight="1">
      <c r="A309" s="3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</row>
    <row r="310" ht="26.25" customHeight="1">
      <c r="A310" s="3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</row>
    <row r="311" ht="26.25" customHeight="1">
      <c r="A311" s="3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</row>
    <row r="312" ht="26.25" customHeight="1">
      <c r="A312" s="3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</row>
    <row r="313" ht="26.25" customHeight="1">
      <c r="A313" s="3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</row>
    <row r="314" ht="26.25" customHeight="1">
      <c r="A314" s="3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</row>
    <row r="315" ht="26.25" customHeight="1">
      <c r="A315" s="3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</row>
    <row r="316" ht="26.25" customHeight="1">
      <c r="A316" s="3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</row>
    <row r="317" ht="26.25" customHeight="1">
      <c r="A317" s="3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</row>
    <row r="318" ht="26.25" customHeight="1">
      <c r="A318" s="3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</row>
    <row r="319" ht="26.25" customHeight="1">
      <c r="A319" s="3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</row>
    <row r="320" ht="26.25" customHeight="1">
      <c r="A320" s="3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</row>
    <row r="321" ht="26.25" customHeight="1">
      <c r="A321" s="3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</row>
    <row r="322" ht="26.25" customHeight="1">
      <c r="A322" s="3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</row>
    <row r="323" ht="26.25" customHeight="1">
      <c r="A323" s="3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</row>
    <row r="324" ht="26.25" customHeight="1">
      <c r="A324" s="3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</row>
    <row r="325" ht="26.25" customHeight="1">
      <c r="A325" s="3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</row>
    <row r="326" ht="26.25" customHeight="1">
      <c r="A326" s="3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</row>
    <row r="327" ht="26.25" customHeight="1">
      <c r="A327" s="3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</row>
    <row r="328" ht="26.25" customHeight="1">
      <c r="A328" s="3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</row>
    <row r="329" ht="26.25" customHeight="1">
      <c r="A329" s="3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</row>
    <row r="330" ht="26.25" customHeight="1">
      <c r="A330" s="3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</row>
    <row r="331" ht="26.25" customHeight="1">
      <c r="A331" s="3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</row>
    <row r="332" ht="26.25" customHeight="1">
      <c r="A332" s="3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</row>
    <row r="333" ht="26.25" customHeight="1">
      <c r="A333" s="3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</row>
    <row r="334" ht="26.25" customHeight="1">
      <c r="A334" s="3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</row>
    <row r="335" ht="26.25" customHeight="1">
      <c r="A335" s="3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</row>
    <row r="336" ht="26.25" customHeight="1">
      <c r="A336" s="3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</row>
    <row r="337" ht="26.25" customHeight="1">
      <c r="A337" s="3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</row>
    <row r="338" ht="26.25" customHeight="1">
      <c r="A338" s="3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</row>
    <row r="339" ht="26.25" customHeight="1">
      <c r="A339" s="3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</row>
    <row r="340" ht="26.25" customHeight="1">
      <c r="A340" s="3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</row>
    <row r="341" ht="26.25" customHeight="1">
      <c r="A341" s="3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</row>
    <row r="342" ht="26.25" customHeight="1">
      <c r="A342" s="3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</row>
    <row r="343" ht="26.25" customHeight="1">
      <c r="A343" s="3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</row>
    <row r="344" ht="26.25" customHeight="1">
      <c r="A344" s="3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</row>
    <row r="345" ht="26.25" customHeight="1">
      <c r="A345" s="3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</row>
    <row r="346" ht="26.25" customHeight="1">
      <c r="A346" s="3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</row>
    <row r="347" ht="26.25" customHeight="1">
      <c r="A347" s="3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</row>
    <row r="348" ht="26.25" customHeight="1">
      <c r="A348" s="3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</row>
    <row r="349" ht="26.25" customHeight="1">
      <c r="A349" s="3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</row>
    <row r="350" ht="26.25" customHeight="1">
      <c r="A350" s="3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</row>
    <row r="351" ht="26.25" customHeight="1">
      <c r="A351" s="3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</row>
    <row r="352" ht="26.25" customHeight="1">
      <c r="A352" s="3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</row>
    <row r="353" ht="26.25" customHeight="1">
      <c r="A353" s="3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</row>
    <row r="354" ht="26.25" customHeight="1">
      <c r="A354" s="3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</row>
    <row r="355" ht="26.25" customHeight="1">
      <c r="A355" s="3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</row>
    <row r="356" ht="26.25" customHeight="1">
      <c r="A356" s="3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</row>
    <row r="357" ht="26.25" customHeight="1">
      <c r="A357" s="3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</row>
    <row r="358" ht="26.25" customHeight="1">
      <c r="A358" s="3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</row>
    <row r="359" ht="26.25" customHeight="1">
      <c r="A359" s="3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</row>
    <row r="360" ht="26.25" customHeight="1">
      <c r="A360" s="3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</row>
    <row r="361" ht="26.25" customHeight="1">
      <c r="A361" s="3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</row>
    <row r="362" ht="26.25" customHeight="1">
      <c r="A362" s="3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</row>
    <row r="363" ht="26.25" customHeight="1">
      <c r="A363" s="3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</row>
    <row r="364" ht="26.25" customHeight="1">
      <c r="A364" s="3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</row>
    <row r="365" ht="26.25" customHeight="1">
      <c r="A365" s="3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</row>
    <row r="366" ht="26.25" customHeight="1">
      <c r="A366" s="3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</row>
    <row r="367" ht="26.25" customHeight="1">
      <c r="A367" s="3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</row>
    <row r="368" ht="26.25" customHeight="1">
      <c r="A368" s="3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</row>
    <row r="369" ht="26.25" customHeight="1">
      <c r="A369" s="3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</row>
    <row r="370" ht="26.25" customHeight="1">
      <c r="A370" s="3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</row>
    <row r="371" ht="26.25" customHeight="1">
      <c r="A371" s="3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</row>
    <row r="372" ht="26.25" customHeight="1">
      <c r="A372" s="3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</row>
    <row r="373" ht="26.25" customHeight="1">
      <c r="A373" s="3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</row>
    <row r="374" ht="26.25" customHeight="1">
      <c r="A374" s="3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</row>
    <row r="375" ht="26.25" customHeight="1">
      <c r="A375" s="3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</row>
    <row r="376" ht="26.25" customHeight="1">
      <c r="A376" s="3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</row>
    <row r="377" ht="26.25" customHeight="1">
      <c r="A377" s="3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</row>
    <row r="378" ht="26.25" customHeight="1">
      <c r="A378" s="3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</row>
    <row r="379" ht="26.25" customHeight="1">
      <c r="A379" s="3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</row>
    <row r="380" ht="26.25" customHeight="1">
      <c r="A380" s="3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</row>
    <row r="381" ht="26.25" customHeight="1">
      <c r="A381" s="3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</row>
    <row r="382" ht="26.25" customHeight="1">
      <c r="A382" s="3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</row>
    <row r="383" ht="26.25" customHeight="1">
      <c r="A383" s="3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</row>
    <row r="384" ht="26.25" customHeight="1">
      <c r="A384" s="3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</row>
    <row r="385" ht="26.25" customHeight="1">
      <c r="A385" s="3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</row>
    <row r="386" ht="26.25" customHeight="1">
      <c r="A386" s="3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</row>
    <row r="387" ht="26.25" customHeight="1">
      <c r="A387" s="3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</row>
    <row r="388" ht="26.25" customHeight="1">
      <c r="A388" s="3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</row>
    <row r="389" ht="26.25" customHeight="1">
      <c r="A389" s="3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</row>
    <row r="390" ht="26.25" customHeight="1">
      <c r="A390" s="3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</row>
    <row r="391" ht="26.25" customHeight="1">
      <c r="A391" s="3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</row>
    <row r="392" ht="26.25" customHeight="1">
      <c r="A392" s="3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</row>
    <row r="393" ht="26.25" customHeight="1">
      <c r="A393" s="3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</row>
    <row r="394" ht="26.25" customHeight="1">
      <c r="A394" s="3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</row>
    <row r="395" ht="26.25" customHeight="1">
      <c r="A395" s="3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</row>
    <row r="396" ht="26.25" customHeight="1">
      <c r="A396" s="3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</row>
    <row r="397" ht="26.25" customHeight="1">
      <c r="A397" s="3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</row>
    <row r="398" ht="26.25" customHeight="1">
      <c r="A398" s="3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</row>
    <row r="399" ht="26.25" customHeight="1">
      <c r="A399" s="3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</row>
    <row r="400" ht="26.25" customHeight="1">
      <c r="A400" s="3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</row>
    <row r="401" ht="26.25" customHeight="1">
      <c r="A401" s="3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</row>
    <row r="402" ht="26.25" customHeight="1">
      <c r="A402" s="3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</row>
    <row r="403" ht="26.25" customHeight="1">
      <c r="A403" s="3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</row>
    <row r="404" ht="26.25" customHeight="1">
      <c r="A404" s="3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</row>
    <row r="405" ht="26.25" customHeight="1">
      <c r="A405" s="3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</row>
    <row r="406" ht="26.25" customHeight="1">
      <c r="A406" s="3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</row>
    <row r="407" ht="26.25" customHeight="1">
      <c r="A407" s="3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</row>
    <row r="408" ht="26.25" customHeight="1">
      <c r="A408" s="3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</row>
    <row r="409" ht="26.25" customHeight="1">
      <c r="A409" s="3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</row>
    <row r="410" ht="26.25" customHeight="1">
      <c r="A410" s="3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</row>
    <row r="411" ht="26.25" customHeight="1">
      <c r="A411" s="3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</row>
    <row r="412" ht="26.25" customHeight="1">
      <c r="A412" s="3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</row>
    <row r="413" ht="26.25" customHeight="1">
      <c r="A413" s="3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</row>
    <row r="414" ht="26.25" customHeight="1">
      <c r="A414" s="3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</row>
    <row r="415" ht="26.25" customHeight="1">
      <c r="A415" s="3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</row>
    <row r="416" ht="26.25" customHeight="1">
      <c r="A416" s="3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</row>
    <row r="417" ht="26.25" customHeight="1">
      <c r="A417" s="3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</row>
    <row r="418" ht="26.25" customHeight="1">
      <c r="A418" s="3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</row>
    <row r="419" ht="26.25" customHeight="1">
      <c r="A419" s="3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</row>
    <row r="420" ht="26.25" customHeight="1">
      <c r="A420" s="3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</row>
    <row r="421" ht="26.25" customHeight="1">
      <c r="A421" s="3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</row>
    <row r="422" ht="26.25" customHeight="1">
      <c r="A422" s="3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</row>
    <row r="423" ht="26.25" customHeight="1">
      <c r="A423" s="3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</row>
    <row r="424" ht="26.25" customHeight="1">
      <c r="A424" s="3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</row>
    <row r="425" ht="26.25" customHeight="1">
      <c r="A425" s="3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</row>
    <row r="426" ht="26.25" customHeight="1">
      <c r="A426" s="3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</row>
    <row r="427" ht="26.25" customHeight="1">
      <c r="A427" s="3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</row>
    <row r="428" ht="26.25" customHeight="1">
      <c r="A428" s="3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</row>
    <row r="429" ht="26.25" customHeight="1">
      <c r="A429" s="3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</row>
    <row r="430" ht="26.25" customHeight="1">
      <c r="A430" s="3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</row>
    <row r="431" ht="26.25" customHeight="1">
      <c r="A431" s="3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</row>
    <row r="432" ht="26.25" customHeight="1">
      <c r="A432" s="3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</row>
    <row r="433" ht="26.25" customHeight="1">
      <c r="A433" s="3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</row>
    <row r="434" ht="26.25" customHeight="1">
      <c r="A434" s="3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</row>
    <row r="435" ht="26.25" customHeight="1">
      <c r="A435" s="3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</row>
    <row r="436" ht="26.25" customHeight="1">
      <c r="A436" s="3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</row>
    <row r="437" ht="26.25" customHeight="1">
      <c r="A437" s="3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</row>
    <row r="438" ht="26.25" customHeight="1">
      <c r="A438" s="3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</row>
    <row r="439" ht="26.25" customHeight="1">
      <c r="A439" s="3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</row>
    <row r="440" ht="26.25" customHeight="1">
      <c r="A440" s="3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</row>
    <row r="441" ht="26.25" customHeight="1">
      <c r="A441" s="3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</row>
    <row r="442" ht="26.25" customHeight="1">
      <c r="A442" s="3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</row>
    <row r="443" ht="26.25" customHeight="1">
      <c r="A443" s="3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</row>
    <row r="444" ht="26.25" customHeight="1">
      <c r="A444" s="3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</row>
    <row r="445" ht="26.25" customHeight="1">
      <c r="A445" s="3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</row>
    <row r="446" ht="26.25" customHeight="1">
      <c r="A446" s="3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</row>
    <row r="447" ht="26.25" customHeight="1">
      <c r="A447" s="3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</row>
    <row r="448" ht="26.25" customHeight="1">
      <c r="A448" s="3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</row>
    <row r="449" ht="26.25" customHeight="1">
      <c r="A449" s="3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</row>
    <row r="450" ht="26.25" customHeight="1">
      <c r="A450" s="3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</row>
    <row r="451" ht="26.25" customHeight="1">
      <c r="A451" s="3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</row>
    <row r="452" ht="26.25" customHeight="1">
      <c r="A452" s="3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</row>
    <row r="453" ht="26.25" customHeight="1">
      <c r="A453" s="3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</row>
    <row r="454" ht="26.25" customHeight="1">
      <c r="A454" s="3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</row>
    <row r="455" ht="26.25" customHeight="1">
      <c r="A455" s="3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</row>
    <row r="456" ht="26.25" customHeight="1">
      <c r="A456" s="3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</row>
    <row r="457" ht="26.25" customHeight="1">
      <c r="A457" s="3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</row>
    <row r="458" ht="26.25" customHeight="1">
      <c r="A458" s="3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</row>
    <row r="459" ht="26.25" customHeight="1">
      <c r="A459" s="3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</row>
    <row r="460" ht="26.25" customHeight="1">
      <c r="A460" s="3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</row>
    <row r="461" ht="26.25" customHeight="1">
      <c r="A461" s="3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</row>
    <row r="462" ht="26.25" customHeight="1">
      <c r="A462" s="3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</row>
    <row r="463" ht="26.25" customHeight="1">
      <c r="A463" s="3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</row>
    <row r="464" ht="26.25" customHeight="1">
      <c r="A464" s="3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</row>
    <row r="465" ht="26.25" customHeight="1">
      <c r="A465" s="3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</row>
    <row r="466" ht="26.25" customHeight="1">
      <c r="A466" s="3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</row>
    <row r="467" ht="26.25" customHeight="1">
      <c r="A467" s="3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</row>
    <row r="468" ht="26.25" customHeight="1">
      <c r="A468" s="3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</row>
    <row r="469" ht="26.25" customHeight="1">
      <c r="A469" s="3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</row>
    <row r="470" ht="26.25" customHeight="1">
      <c r="A470" s="3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</row>
    <row r="471" ht="26.25" customHeight="1">
      <c r="A471" s="3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</row>
    <row r="472" ht="26.25" customHeight="1">
      <c r="A472" s="3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</row>
    <row r="473" ht="26.25" customHeight="1">
      <c r="A473" s="3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</row>
    <row r="474" ht="26.25" customHeight="1">
      <c r="A474" s="3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</row>
    <row r="475" ht="26.25" customHeight="1">
      <c r="A475" s="3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</row>
    <row r="476" ht="26.25" customHeight="1">
      <c r="A476" s="3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</row>
    <row r="477" ht="26.25" customHeight="1">
      <c r="A477" s="3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</row>
    <row r="478" ht="26.25" customHeight="1">
      <c r="A478" s="3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</row>
    <row r="479" ht="26.25" customHeight="1">
      <c r="A479" s="3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</row>
    <row r="480" ht="26.25" customHeight="1">
      <c r="A480" s="3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</row>
    <row r="481" ht="26.25" customHeight="1">
      <c r="A481" s="3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</row>
    <row r="482" ht="26.25" customHeight="1">
      <c r="A482" s="3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</row>
    <row r="483" ht="26.25" customHeight="1">
      <c r="A483" s="3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</row>
    <row r="484" ht="26.25" customHeight="1">
      <c r="A484" s="3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</row>
    <row r="485" ht="26.25" customHeight="1">
      <c r="A485" s="3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</row>
    <row r="486" ht="26.25" customHeight="1">
      <c r="A486" s="3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</row>
    <row r="487" ht="26.25" customHeight="1">
      <c r="A487" s="3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</row>
    <row r="488" ht="26.25" customHeight="1">
      <c r="A488" s="3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</row>
    <row r="489" ht="26.25" customHeight="1">
      <c r="A489" s="3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</row>
    <row r="490" ht="26.25" customHeight="1">
      <c r="A490" s="3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</row>
    <row r="491" ht="26.25" customHeight="1">
      <c r="A491" s="3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</row>
    <row r="492" ht="26.25" customHeight="1">
      <c r="A492" s="3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</row>
    <row r="493" ht="26.25" customHeight="1">
      <c r="A493" s="3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</row>
    <row r="494" ht="26.25" customHeight="1">
      <c r="A494" s="3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</row>
    <row r="495" ht="26.25" customHeight="1">
      <c r="A495" s="3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</row>
    <row r="496" ht="26.25" customHeight="1">
      <c r="A496" s="3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</row>
    <row r="497" ht="26.25" customHeight="1">
      <c r="A497" s="3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</row>
    <row r="498" ht="26.25" customHeight="1">
      <c r="A498" s="3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</row>
    <row r="499" ht="26.25" customHeight="1">
      <c r="A499" s="3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</row>
    <row r="500" ht="26.25" customHeight="1">
      <c r="A500" s="3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</row>
    <row r="501" ht="26.25" customHeight="1">
      <c r="A501" s="3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</row>
    <row r="502" ht="26.25" customHeight="1">
      <c r="A502" s="3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</row>
    <row r="503" ht="26.25" customHeight="1">
      <c r="A503" s="3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</row>
    <row r="504" ht="26.25" customHeight="1">
      <c r="A504" s="3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</row>
    <row r="505" ht="26.25" customHeight="1">
      <c r="A505" s="3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</row>
    <row r="506" ht="26.25" customHeight="1">
      <c r="A506" s="3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</row>
    <row r="507" ht="26.25" customHeight="1">
      <c r="A507" s="3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</row>
    <row r="508" ht="26.25" customHeight="1">
      <c r="A508" s="3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</row>
    <row r="509" ht="26.25" customHeight="1">
      <c r="A509" s="3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</row>
    <row r="510" ht="26.25" customHeight="1">
      <c r="A510" s="3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</row>
    <row r="511" ht="26.25" customHeight="1">
      <c r="A511" s="3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</row>
    <row r="512" ht="26.25" customHeight="1">
      <c r="A512" s="3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</row>
    <row r="513" ht="26.25" customHeight="1">
      <c r="A513" s="3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</row>
    <row r="514" ht="26.25" customHeight="1">
      <c r="A514" s="3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</row>
    <row r="515" ht="26.25" customHeight="1">
      <c r="A515" s="3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</row>
    <row r="516" ht="26.25" customHeight="1">
      <c r="A516" s="3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</row>
    <row r="517" ht="26.25" customHeight="1">
      <c r="A517" s="3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</row>
    <row r="518" ht="26.25" customHeight="1">
      <c r="A518" s="3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</row>
    <row r="519" ht="26.25" customHeight="1">
      <c r="A519" s="3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</row>
    <row r="520" ht="26.25" customHeight="1">
      <c r="A520" s="3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</row>
    <row r="521" ht="26.25" customHeight="1">
      <c r="A521" s="3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</row>
    <row r="522" ht="26.25" customHeight="1">
      <c r="A522" s="3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</row>
    <row r="523" ht="26.25" customHeight="1">
      <c r="A523" s="3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</row>
    <row r="524" ht="26.25" customHeight="1">
      <c r="A524" s="3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</row>
    <row r="525" ht="26.25" customHeight="1">
      <c r="A525" s="3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</row>
    <row r="526" ht="26.25" customHeight="1">
      <c r="A526" s="3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</row>
    <row r="527" ht="26.25" customHeight="1">
      <c r="A527" s="3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</row>
    <row r="528" ht="26.25" customHeight="1">
      <c r="A528" s="3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</row>
    <row r="529" ht="26.25" customHeight="1">
      <c r="A529" s="3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</row>
    <row r="530" ht="26.25" customHeight="1">
      <c r="A530" s="3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</row>
    <row r="531" ht="26.25" customHeight="1">
      <c r="A531" s="3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</row>
    <row r="532" ht="26.25" customHeight="1">
      <c r="A532" s="3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</row>
    <row r="533" ht="26.25" customHeight="1">
      <c r="A533" s="3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</row>
    <row r="534" ht="26.25" customHeight="1">
      <c r="A534" s="3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</row>
    <row r="535" ht="26.25" customHeight="1">
      <c r="A535" s="3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</row>
    <row r="536" ht="26.25" customHeight="1">
      <c r="A536" s="3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</row>
    <row r="537" ht="26.25" customHeight="1">
      <c r="A537" s="3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</row>
    <row r="538" ht="26.25" customHeight="1">
      <c r="A538" s="3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</row>
    <row r="539" ht="26.25" customHeight="1">
      <c r="A539" s="3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</row>
    <row r="540" ht="26.25" customHeight="1">
      <c r="A540" s="3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</row>
    <row r="541" ht="26.25" customHeight="1">
      <c r="A541" s="3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</row>
    <row r="542" ht="26.25" customHeight="1">
      <c r="A542" s="3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</row>
    <row r="543" ht="26.25" customHeight="1">
      <c r="A543" s="3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</row>
    <row r="544" ht="26.25" customHeight="1">
      <c r="A544" s="3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</row>
    <row r="545" ht="26.25" customHeight="1">
      <c r="A545" s="3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</row>
    <row r="546" ht="26.25" customHeight="1">
      <c r="A546" s="3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</row>
    <row r="547" ht="26.25" customHeight="1">
      <c r="A547" s="3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</row>
    <row r="548" ht="26.25" customHeight="1">
      <c r="A548" s="3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</row>
    <row r="549" ht="26.25" customHeight="1">
      <c r="A549" s="3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</row>
    <row r="550" ht="26.25" customHeight="1">
      <c r="A550" s="3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</row>
    <row r="551" ht="26.25" customHeight="1">
      <c r="A551" s="3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</row>
    <row r="552" ht="26.25" customHeight="1">
      <c r="A552" s="3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</row>
    <row r="553" ht="26.25" customHeight="1">
      <c r="A553" s="3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</row>
    <row r="554" ht="26.25" customHeight="1">
      <c r="A554" s="3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</row>
    <row r="555" ht="26.25" customHeight="1">
      <c r="A555" s="3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</row>
    <row r="556" ht="26.25" customHeight="1">
      <c r="A556" s="3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</row>
    <row r="557" ht="26.25" customHeight="1">
      <c r="A557" s="3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</row>
    <row r="558" ht="26.25" customHeight="1">
      <c r="A558" s="3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</row>
    <row r="559" ht="26.25" customHeight="1">
      <c r="A559" s="3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</row>
    <row r="560" ht="26.25" customHeight="1">
      <c r="A560" s="3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</row>
    <row r="561" ht="26.25" customHeight="1">
      <c r="A561" s="3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</row>
    <row r="562" ht="26.25" customHeight="1">
      <c r="A562" s="3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</row>
    <row r="563" ht="26.25" customHeight="1">
      <c r="A563" s="3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</row>
    <row r="564" ht="26.25" customHeight="1">
      <c r="A564" s="3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</row>
    <row r="565" ht="26.25" customHeight="1">
      <c r="A565" s="3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</row>
    <row r="566" ht="26.25" customHeight="1">
      <c r="A566" s="3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</row>
    <row r="567" ht="26.25" customHeight="1">
      <c r="A567" s="3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</row>
    <row r="568" ht="26.25" customHeight="1">
      <c r="A568" s="3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</row>
    <row r="569" ht="26.25" customHeight="1">
      <c r="A569" s="3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</row>
    <row r="570" ht="26.25" customHeight="1">
      <c r="A570" s="3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</row>
    <row r="571" ht="26.25" customHeight="1">
      <c r="A571" s="3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</row>
    <row r="572" ht="26.25" customHeight="1">
      <c r="A572" s="3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</row>
    <row r="573" ht="26.25" customHeight="1">
      <c r="A573" s="3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</row>
    <row r="574" ht="26.25" customHeight="1">
      <c r="A574" s="3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</row>
    <row r="575" ht="26.25" customHeight="1">
      <c r="A575" s="3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</row>
    <row r="576" ht="26.25" customHeight="1">
      <c r="A576" s="3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</row>
    <row r="577" ht="26.25" customHeight="1">
      <c r="A577" s="3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</row>
    <row r="578" ht="26.25" customHeight="1">
      <c r="A578" s="3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</row>
    <row r="579" ht="26.25" customHeight="1">
      <c r="A579" s="3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</row>
    <row r="580" ht="26.25" customHeight="1">
      <c r="A580" s="3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</row>
    <row r="581" ht="26.25" customHeight="1">
      <c r="A581" s="3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</row>
    <row r="582" ht="26.25" customHeight="1">
      <c r="A582" s="3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</row>
    <row r="583" ht="26.25" customHeight="1">
      <c r="A583" s="3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</row>
    <row r="584" ht="26.25" customHeight="1">
      <c r="A584" s="3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</row>
    <row r="585" ht="26.25" customHeight="1">
      <c r="A585" s="3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</row>
    <row r="586" ht="26.25" customHeight="1">
      <c r="A586" s="3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</row>
    <row r="587" ht="26.25" customHeight="1">
      <c r="A587" s="3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</row>
    <row r="588" ht="26.25" customHeight="1">
      <c r="A588" s="3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</row>
    <row r="589" ht="26.25" customHeight="1">
      <c r="A589" s="3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</row>
    <row r="590" ht="26.25" customHeight="1">
      <c r="A590" s="3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</row>
    <row r="591" ht="26.25" customHeight="1">
      <c r="A591" s="3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</row>
    <row r="592" ht="26.25" customHeight="1">
      <c r="A592" s="3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</row>
    <row r="593" ht="26.25" customHeight="1">
      <c r="A593" s="3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</row>
    <row r="594" ht="26.25" customHeight="1">
      <c r="A594" s="3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</row>
    <row r="595" ht="26.25" customHeight="1">
      <c r="A595" s="3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</row>
    <row r="596" ht="26.25" customHeight="1">
      <c r="A596" s="3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</row>
    <row r="597" ht="26.25" customHeight="1">
      <c r="A597" s="3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</row>
    <row r="598" ht="26.25" customHeight="1">
      <c r="A598" s="3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</row>
    <row r="599" ht="26.25" customHeight="1">
      <c r="A599" s="3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</row>
    <row r="600" ht="26.25" customHeight="1">
      <c r="A600" s="3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</row>
    <row r="601" ht="26.25" customHeight="1">
      <c r="A601" s="3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</row>
    <row r="602" ht="26.25" customHeight="1">
      <c r="A602" s="3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</row>
    <row r="603" ht="26.25" customHeight="1">
      <c r="A603" s="3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</row>
    <row r="604" ht="26.25" customHeight="1">
      <c r="A604" s="3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</row>
    <row r="605" ht="26.25" customHeight="1">
      <c r="A605" s="3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</row>
    <row r="606" ht="26.25" customHeight="1">
      <c r="A606" s="3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</row>
    <row r="607" ht="26.25" customHeight="1">
      <c r="A607" s="3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</row>
    <row r="608" ht="26.25" customHeight="1">
      <c r="A608" s="3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</row>
    <row r="609" ht="26.25" customHeight="1">
      <c r="A609" s="3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</row>
    <row r="610" ht="26.25" customHeight="1">
      <c r="A610" s="3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</row>
    <row r="611" ht="26.25" customHeight="1">
      <c r="A611" s="3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</row>
    <row r="612" ht="26.25" customHeight="1">
      <c r="A612" s="3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</row>
    <row r="613" ht="26.25" customHeight="1">
      <c r="A613" s="3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</row>
    <row r="614" ht="26.25" customHeight="1">
      <c r="A614" s="3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</row>
    <row r="615" ht="26.25" customHeight="1">
      <c r="A615" s="3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</row>
    <row r="616" ht="26.25" customHeight="1">
      <c r="A616" s="3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</row>
    <row r="617" ht="26.25" customHeight="1">
      <c r="A617" s="3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</row>
    <row r="618" ht="26.25" customHeight="1">
      <c r="A618" s="3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</row>
    <row r="619" ht="26.25" customHeight="1">
      <c r="A619" s="3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</row>
    <row r="620" ht="26.25" customHeight="1">
      <c r="A620" s="3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</row>
    <row r="621" ht="26.25" customHeight="1">
      <c r="A621" s="3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</row>
    <row r="622" ht="26.25" customHeight="1">
      <c r="A622" s="3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</row>
    <row r="623" ht="26.25" customHeight="1">
      <c r="A623" s="3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</row>
    <row r="624" ht="26.25" customHeight="1">
      <c r="A624" s="3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</row>
    <row r="625" ht="26.25" customHeight="1">
      <c r="A625" s="3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</row>
    <row r="626" ht="26.25" customHeight="1">
      <c r="A626" s="3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</row>
    <row r="627" ht="26.25" customHeight="1">
      <c r="A627" s="3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</row>
    <row r="628" ht="26.25" customHeight="1">
      <c r="A628" s="3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</row>
    <row r="629" ht="26.25" customHeight="1">
      <c r="A629" s="3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</row>
    <row r="630" ht="26.25" customHeight="1">
      <c r="A630" s="3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</row>
    <row r="631" ht="26.25" customHeight="1">
      <c r="A631" s="3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</row>
    <row r="632" ht="26.25" customHeight="1">
      <c r="A632" s="3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</row>
    <row r="633" ht="26.25" customHeight="1">
      <c r="A633" s="3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</row>
    <row r="634" ht="26.25" customHeight="1">
      <c r="A634" s="3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</row>
    <row r="635" ht="26.25" customHeight="1">
      <c r="A635" s="3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</row>
    <row r="636" ht="26.25" customHeight="1">
      <c r="A636" s="3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</row>
    <row r="637" ht="26.25" customHeight="1">
      <c r="A637" s="3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</row>
    <row r="638" ht="26.25" customHeight="1">
      <c r="A638" s="3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</row>
    <row r="639" ht="26.25" customHeight="1">
      <c r="A639" s="3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</row>
    <row r="640" ht="26.25" customHeight="1">
      <c r="A640" s="3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</row>
    <row r="641" ht="26.25" customHeight="1">
      <c r="A641" s="3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</row>
    <row r="642" ht="26.25" customHeight="1">
      <c r="A642" s="3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</row>
    <row r="643" ht="26.25" customHeight="1">
      <c r="A643" s="3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</row>
    <row r="644" ht="26.25" customHeight="1">
      <c r="A644" s="3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</row>
    <row r="645" ht="26.25" customHeight="1">
      <c r="A645" s="3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</row>
    <row r="646" ht="26.25" customHeight="1">
      <c r="A646" s="3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</row>
    <row r="647" ht="26.25" customHeight="1">
      <c r="A647" s="3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</row>
    <row r="648" ht="26.25" customHeight="1">
      <c r="A648" s="3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</row>
    <row r="649" ht="26.25" customHeight="1">
      <c r="A649" s="3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</row>
    <row r="650" ht="26.25" customHeight="1">
      <c r="A650" s="3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</row>
    <row r="651" ht="26.25" customHeight="1">
      <c r="A651" s="3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</row>
    <row r="652" ht="26.25" customHeight="1">
      <c r="A652" s="3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</row>
    <row r="653" ht="26.25" customHeight="1">
      <c r="A653" s="3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</row>
    <row r="654" ht="26.25" customHeight="1">
      <c r="A654" s="3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</row>
    <row r="655" ht="26.25" customHeight="1">
      <c r="A655" s="3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</row>
    <row r="656" ht="26.25" customHeight="1">
      <c r="A656" s="3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</row>
    <row r="657" ht="26.25" customHeight="1">
      <c r="A657" s="3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</row>
    <row r="658" ht="26.25" customHeight="1">
      <c r="A658" s="3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</row>
    <row r="659" ht="26.25" customHeight="1">
      <c r="A659" s="3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</row>
    <row r="660" ht="26.25" customHeight="1">
      <c r="A660" s="3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</row>
    <row r="661" ht="26.25" customHeight="1">
      <c r="A661" s="3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</row>
    <row r="662" ht="26.25" customHeight="1">
      <c r="A662" s="3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</row>
    <row r="663" ht="26.25" customHeight="1">
      <c r="A663" s="3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</row>
    <row r="664" ht="26.25" customHeight="1">
      <c r="A664" s="3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</row>
    <row r="665" ht="26.25" customHeight="1">
      <c r="A665" s="3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</row>
    <row r="666" ht="26.25" customHeight="1">
      <c r="A666" s="3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</row>
    <row r="667" ht="26.25" customHeight="1">
      <c r="A667" s="3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</row>
    <row r="668" ht="26.25" customHeight="1">
      <c r="A668" s="3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</row>
    <row r="669" ht="26.25" customHeight="1">
      <c r="A669" s="3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</row>
    <row r="670" ht="26.25" customHeight="1">
      <c r="A670" s="3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</row>
    <row r="671" ht="26.25" customHeight="1">
      <c r="A671" s="3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</row>
    <row r="672" ht="26.25" customHeight="1">
      <c r="A672" s="3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</row>
    <row r="673" ht="26.25" customHeight="1">
      <c r="A673" s="3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</row>
    <row r="674" ht="26.25" customHeight="1">
      <c r="A674" s="3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</row>
    <row r="675" ht="26.25" customHeight="1">
      <c r="A675" s="3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</row>
    <row r="676" ht="26.25" customHeight="1">
      <c r="A676" s="3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</row>
    <row r="677" ht="26.25" customHeight="1">
      <c r="A677" s="3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</row>
    <row r="678" ht="26.25" customHeight="1">
      <c r="A678" s="3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</row>
    <row r="679" ht="26.25" customHeight="1">
      <c r="A679" s="3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</row>
    <row r="680" ht="26.25" customHeight="1">
      <c r="A680" s="3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</row>
    <row r="681" ht="26.25" customHeight="1">
      <c r="A681" s="3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</row>
    <row r="682" ht="26.25" customHeight="1">
      <c r="A682" s="3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</row>
    <row r="683" ht="26.25" customHeight="1">
      <c r="A683" s="3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</row>
    <row r="684" ht="26.25" customHeight="1">
      <c r="A684" s="3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</row>
    <row r="685" ht="26.25" customHeight="1">
      <c r="A685" s="3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</row>
    <row r="686" ht="26.25" customHeight="1">
      <c r="A686" s="3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</row>
    <row r="687" ht="26.25" customHeight="1">
      <c r="A687" s="3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</row>
    <row r="688" ht="26.25" customHeight="1">
      <c r="A688" s="3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</row>
    <row r="689" ht="26.25" customHeight="1">
      <c r="A689" s="3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</row>
    <row r="690" ht="26.25" customHeight="1">
      <c r="A690" s="3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</row>
    <row r="691" ht="26.25" customHeight="1">
      <c r="A691" s="3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</row>
    <row r="692" ht="26.25" customHeight="1">
      <c r="A692" s="3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</row>
    <row r="693" ht="26.25" customHeight="1">
      <c r="A693" s="3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</row>
    <row r="694" ht="26.25" customHeight="1">
      <c r="A694" s="3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</row>
    <row r="695" ht="26.25" customHeight="1">
      <c r="A695" s="3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</row>
    <row r="696" ht="26.25" customHeight="1">
      <c r="A696" s="3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</row>
    <row r="697" ht="26.25" customHeight="1">
      <c r="A697" s="3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</row>
    <row r="698" ht="26.25" customHeight="1">
      <c r="A698" s="3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</row>
    <row r="699" ht="26.25" customHeight="1">
      <c r="A699" s="3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</row>
    <row r="700" ht="26.25" customHeight="1">
      <c r="A700" s="3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</row>
    <row r="701" ht="26.25" customHeight="1">
      <c r="A701" s="3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</row>
    <row r="702" ht="26.25" customHeight="1">
      <c r="A702" s="3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</row>
    <row r="703" ht="26.25" customHeight="1">
      <c r="A703" s="3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</row>
    <row r="704" ht="26.25" customHeight="1">
      <c r="A704" s="3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</row>
    <row r="705" ht="26.25" customHeight="1">
      <c r="A705" s="3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</row>
    <row r="706" ht="26.25" customHeight="1">
      <c r="A706" s="3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</row>
    <row r="707" ht="26.25" customHeight="1">
      <c r="A707" s="3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</row>
    <row r="708" ht="26.25" customHeight="1">
      <c r="A708" s="3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</row>
    <row r="709" ht="26.25" customHeight="1">
      <c r="A709" s="3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</row>
    <row r="710" ht="26.25" customHeight="1">
      <c r="A710" s="3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</row>
    <row r="711" ht="26.25" customHeight="1">
      <c r="A711" s="3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</row>
    <row r="712" ht="26.25" customHeight="1">
      <c r="A712" s="3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</row>
    <row r="713" ht="26.25" customHeight="1">
      <c r="A713" s="3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</row>
    <row r="714" ht="26.25" customHeight="1">
      <c r="A714" s="3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</row>
    <row r="715" ht="26.25" customHeight="1">
      <c r="A715" s="3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</row>
    <row r="716" ht="26.25" customHeight="1">
      <c r="A716" s="3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</row>
    <row r="717" ht="26.25" customHeight="1">
      <c r="A717" s="3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</row>
    <row r="718" ht="26.25" customHeight="1">
      <c r="A718" s="3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</row>
    <row r="719" ht="26.25" customHeight="1">
      <c r="A719" s="3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</row>
    <row r="720" ht="26.25" customHeight="1">
      <c r="A720" s="3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</row>
    <row r="721" ht="26.25" customHeight="1">
      <c r="A721" s="3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</row>
    <row r="722" ht="26.25" customHeight="1">
      <c r="A722" s="3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</row>
    <row r="723" ht="26.25" customHeight="1">
      <c r="A723" s="3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</row>
    <row r="724" ht="26.25" customHeight="1">
      <c r="A724" s="3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</row>
    <row r="725" ht="26.25" customHeight="1">
      <c r="A725" s="3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</row>
    <row r="726" ht="26.25" customHeight="1">
      <c r="A726" s="3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</row>
    <row r="727" ht="26.25" customHeight="1">
      <c r="A727" s="3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</row>
    <row r="728" ht="26.25" customHeight="1">
      <c r="A728" s="3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</row>
    <row r="729" ht="26.25" customHeight="1">
      <c r="A729" s="3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</row>
    <row r="730" ht="26.25" customHeight="1">
      <c r="A730" s="3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</row>
    <row r="731" ht="26.25" customHeight="1">
      <c r="A731" s="3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</row>
    <row r="732" ht="26.25" customHeight="1">
      <c r="A732" s="3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</row>
    <row r="733" ht="26.25" customHeight="1">
      <c r="A733" s="3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</row>
    <row r="734" ht="26.25" customHeight="1">
      <c r="A734" s="3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</row>
    <row r="735" ht="26.25" customHeight="1">
      <c r="A735" s="3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</row>
    <row r="736" ht="26.25" customHeight="1">
      <c r="A736" s="3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</row>
    <row r="737" ht="26.25" customHeight="1">
      <c r="A737" s="3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</row>
    <row r="738" ht="26.25" customHeight="1">
      <c r="A738" s="3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</row>
    <row r="739" ht="26.25" customHeight="1">
      <c r="A739" s="3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</row>
    <row r="740" ht="26.25" customHeight="1">
      <c r="A740" s="3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</row>
    <row r="741" ht="26.25" customHeight="1">
      <c r="A741" s="3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</row>
    <row r="742" ht="26.25" customHeight="1">
      <c r="A742" s="3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</row>
    <row r="743" ht="26.25" customHeight="1">
      <c r="A743" s="3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</row>
    <row r="744" ht="26.25" customHeight="1">
      <c r="A744" s="3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</row>
    <row r="745" ht="26.25" customHeight="1">
      <c r="A745" s="3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</row>
    <row r="746" ht="26.25" customHeight="1">
      <c r="A746" s="3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</row>
    <row r="747" ht="26.25" customHeight="1">
      <c r="A747" s="3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</row>
    <row r="748" ht="26.25" customHeight="1">
      <c r="A748" s="3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</row>
    <row r="749" ht="26.25" customHeight="1">
      <c r="A749" s="3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</row>
    <row r="750" ht="26.25" customHeight="1">
      <c r="A750" s="3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</row>
    <row r="751" ht="26.25" customHeight="1">
      <c r="A751" s="3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</row>
    <row r="752" ht="26.25" customHeight="1">
      <c r="A752" s="3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</row>
    <row r="753" ht="26.25" customHeight="1">
      <c r="A753" s="3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</row>
    <row r="754" ht="26.25" customHeight="1">
      <c r="A754" s="3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</row>
    <row r="755" ht="26.25" customHeight="1">
      <c r="A755" s="3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</row>
    <row r="756" ht="26.25" customHeight="1">
      <c r="A756" s="3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</row>
    <row r="757" ht="26.25" customHeight="1">
      <c r="A757" s="3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</row>
    <row r="758" ht="26.25" customHeight="1">
      <c r="A758" s="3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</row>
    <row r="759" ht="26.25" customHeight="1">
      <c r="A759" s="3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</row>
    <row r="760" ht="26.25" customHeight="1">
      <c r="A760" s="3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</row>
    <row r="761" ht="26.25" customHeight="1">
      <c r="A761" s="3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</row>
    <row r="762" ht="26.25" customHeight="1">
      <c r="A762" s="3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</row>
    <row r="763" ht="26.25" customHeight="1">
      <c r="A763" s="3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</row>
    <row r="764" ht="26.25" customHeight="1">
      <c r="A764" s="3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</row>
    <row r="765" ht="26.25" customHeight="1">
      <c r="A765" s="3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</row>
    <row r="766" ht="26.25" customHeight="1">
      <c r="A766" s="3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</row>
    <row r="767" ht="26.25" customHeight="1">
      <c r="A767" s="3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</row>
    <row r="768" ht="26.25" customHeight="1">
      <c r="A768" s="3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</row>
    <row r="769" ht="26.25" customHeight="1">
      <c r="A769" s="3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</row>
    <row r="770" ht="26.25" customHeight="1">
      <c r="A770" s="3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</row>
    <row r="771" ht="26.25" customHeight="1">
      <c r="A771" s="3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</row>
    <row r="772" ht="26.25" customHeight="1">
      <c r="A772" s="3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</row>
    <row r="773" ht="26.25" customHeight="1">
      <c r="A773" s="3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</row>
    <row r="774" ht="26.25" customHeight="1">
      <c r="A774" s="3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</row>
    <row r="775" ht="26.25" customHeight="1">
      <c r="A775" s="3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</row>
    <row r="776" ht="26.25" customHeight="1">
      <c r="A776" s="3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</row>
    <row r="777" ht="26.25" customHeight="1">
      <c r="A777" s="3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</row>
    <row r="778" ht="26.25" customHeight="1">
      <c r="A778" s="3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</row>
    <row r="779" ht="26.25" customHeight="1">
      <c r="A779" s="3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</row>
    <row r="780" ht="26.25" customHeight="1">
      <c r="A780" s="3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</row>
    <row r="781" ht="26.25" customHeight="1">
      <c r="A781" s="3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</row>
    <row r="782" ht="26.25" customHeight="1">
      <c r="A782" s="3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</row>
    <row r="783" ht="26.25" customHeight="1">
      <c r="A783" s="3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</row>
    <row r="784" ht="26.25" customHeight="1">
      <c r="A784" s="3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</row>
    <row r="785" ht="26.25" customHeight="1">
      <c r="A785" s="3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</row>
    <row r="786" ht="26.25" customHeight="1">
      <c r="A786" s="3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</row>
    <row r="787" ht="26.25" customHeight="1">
      <c r="A787" s="3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</row>
    <row r="788" ht="26.25" customHeight="1">
      <c r="A788" s="3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</row>
    <row r="789" ht="26.25" customHeight="1">
      <c r="A789" s="3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</row>
    <row r="790" ht="26.25" customHeight="1">
      <c r="A790" s="3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</row>
    <row r="791" ht="26.25" customHeight="1">
      <c r="A791" s="3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</row>
    <row r="792" ht="26.25" customHeight="1">
      <c r="A792" s="3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</row>
    <row r="793" ht="26.25" customHeight="1">
      <c r="A793" s="3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</row>
    <row r="794" ht="26.25" customHeight="1">
      <c r="A794" s="3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</row>
    <row r="795" ht="26.25" customHeight="1">
      <c r="A795" s="3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</row>
    <row r="796" ht="26.25" customHeight="1">
      <c r="A796" s="3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</row>
    <row r="797" ht="26.25" customHeight="1">
      <c r="A797" s="3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</row>
    <row r="798" ht="26.25" customHeight="1">
      <c r="A798" s="3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</row>
    <row r="799" ht="26.25" customHeight="1">
      <c r="A799" s="3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</row>
    <row r="800" ht="26.25" customHeight="1">
      <c r="A800" s="3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</row>
    <row r="801" ht="26.25" customHeight="1">
      <c r="A801" s="3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</row>
    <row r="802" ht="26.25" customHeight="1">
      <c r="A802" s="3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</row>
    <row r="803" ht="26.25" customHeight="1">
      <c r="A803" s="3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</row>
    <row r="804" ht="26.25" customHeight="1">
      <c r="A804" s="3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</row>
    <row r="805" ht="26.25" customHeight="1">
      <c r="A805" s="3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</row>
    <row r="806" ht="26.25" customHeight="1">
      <c r="A806" s="3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</row>
    <row r="807" ht="26.25" customHeight="1">
      <c r="A807" s="3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</row>
    <row r="808" ht="26.25" customHeight="1">
      <c r="A808" s="3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</row>
    <row r="809" ht="26.25" customHeight="1">
      <c r="A809" s="3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</row>
    <row r="810" ht="26.25" customHeight="1">
      <c r="A810" s="3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</row>
    <row r="811" ht="26.25" customHeight="1">
      <c r="A811" s="3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</row>
    <row r="812" ht="26.25" customHeight="1">
      <c r="A812" s="3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</row>
    <row r="813" ht="26.25" customHeight="1">
      <c r="A813" s="3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</row>
    <row r="814" ht="26.25" customHeight="1">
      <c r="A814" s="3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</row>
    <row r="815" ht="26.25" customHeight="1">
      <c r="A815" s="3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</row>
    <row r="816" ht="26.25" customHeight="1">
      <c r="A816" s="3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</row>
    <row r="817" ht="26.25" customHeight="1">
      <c r="A817" s="3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</row>
    <row r="818" ht="26.25" customHeight="1">
      <c r="A818" s="3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</row>
    <row r="819" ht="26.25" customHeight="1">
      <c r="A819" s="3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</row>
    <row r="820" ht="26.25" customHeight="1">
      <c r="A820" s="3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</row>
    <row r="821" ht="26.25" customHeight="1">
      <c r="A821" s="3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</row>
    <row r="822" ht="26.25" customHeight="1">
      <c r="A822" s="3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</row>
    <row r="823" ht="26.25" customHeight="1">
      <c r="A823" s="3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</row>
    <row r="824" ht="26.25" customHeight="1">
      <c r="A824" s="3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</row>
    <row r="825" ht="26.25" customHeight="1">
      <c r="A825" s="3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</row>
    <row r="826" ht="26.25" customHeight="1">
      <c r="A826" s="3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</row>
    <row r="827" ht="26.25" customHeight="1">
      <c r="A827" s="3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</row>
    <row r="828" ht="26.25" customHeight="1">
      <c r="A828" s="3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</row>
    <row r="829" ht="26.25" customHeight="1">
      <c r="A829" s="3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</row>
    <row r="830" ht="26.25" customHeight="1">
      <c r="A830" s="3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</row>
    <row r="831" ht="26.25" customHeight="1">
      <c r="A831" s="3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</row>
    <row r="832" ht="26.25" customHeight="1">
      <c r="A832" s="3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</row>
    <row r="833" ht="26.25" customHeight="1">
      <c r="A833" s="3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</row>
    <row r="834" ht="26.25" customHeight="1">
      <c r="A834" s="3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</row>
    <row r="835" ht="26.25" customHeight="1">
      <c r="A835" s="3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</row>
    <row r="836" ht="26.25" customHeight="1">
      <c r="A836" s="3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</row>
    <row r="837" ht="26.25" customHeight="1">
      <c r="A837" s="3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</row>
    <row r="838" ht="26.25" customHeight="1">
      <c r="A838" s="3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</row>
    <row r="839" ht="26.25" customHeight="1">
      <c r="A839" s="3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</row>
    <row r="840" ht="26.25" customHeight="1">
      <c r="A840" s="3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</row>
    <row r="841" ht="26.25" customHeight="1">
      <c r="A841" s="3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</row>
    <row r="842" ht="26.25" customHeight="1">
      <c r="A842" s="3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</row>
    <row r="843" ht="26.25" customHeight="1">
      <c r="A843" s="3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</row>
    <row r="844" ht="26.25" customHeight="1">
      <c r="A844" s="3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</row>
    <row r="845" ht="26.25" customHeight="1">
      <c r="A845" s="3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</row>
    <row r="846" ht="26.25" customHeight="1">
      <c r="A846" s="3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</row>
    <row r="847" ht="26.25" customHeight="1">
      <c r="A847" s="3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</row>
    <row r="848" ht="26.25" customHeight="1">
      <c r="A848" s="3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</row>
    <row r="849" ht="26.25" customHeight="1">
      <c r="A849" s="3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</row>
    <row r="850" ht="26.25" customHeight="1">
      <c r="A850" s="3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</row>
    <row r="851" ht="26.25" customHeight="1">
      <c r="A851" s="3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</row>
    <row r="852" ht="26.25" customHeight="1">
      <c r="A852" s="3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</row>
    <row r="853" ht="26.25" customHeight="1">
      <c r="A853" s="3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</row>
    <row r="854" ht="26.25" customHeight="1">
      <c r="A854" s="3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</row>
    <row r="855" ht="26.25" customHeight="1">
      <c r="A855" s="3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</row>
    <row r="856" ht="26.25" customHeight="1">
      <c r="A856" s="3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</row>
    <row r="857" ht="26.25" customHeight="1">
      <c r="A857" s="3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</row>
    <row r="858" ht="26.25" customHeight="1">
      <c r="A858" s="3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</row>
    <row r="859" ht="26.25" customHeight="1">
      <c r="A859" s="3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</row>
    <row r="860" ht="26.25" customHeight="1">
      <c r="A860" s="3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</row>
    <row r="861" ht="26.25" customHeight="1">
      <c r="A861" s="3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</row>
    <row r="862" ht="26.25" customHeight="1">
      <c r="A862" s="3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</row>
    <row r="863" ht="26.25" customHeight="1">
      <c r="A863" s="3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</row>
    <row r="864" ht="26.25" customHeight="1">
      <c r="A864" s="3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</row>
    <row r="865" ht="26.25" customHeight="1">
      <c r="A865" s="3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</row>
    <row r="866" ht="26.25" customHeight="1">
      <c r="A866" s="3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</row>
    <row r="867" ht="26.25" customHeight="1">
      <c r="A867" s="3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</row>
    <row r="868" ht="26.25" customHeight="1">
      <c r="A868" s="3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</row>
    <row r="869" ht="26.25" customHeight="1">
      <c r="A869" s="3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</row>
    <row r="870" ht="26.25" customHeight="1">
      <c r="A870" s="3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</row>
    <row r="871" ht="26.25" customHeight="1">
      <c r="A871" s="3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</row>
    <row r="872" ht="26.25" customHeight="1">
      <c r="A872" s="3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</row>
    <row r="873" ht="26.25" customHeight="1">
      <c r="A873" s="3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</row>
    <row r="874" ht="26.25" customHeight="1">
      <c r="A874" s="3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</row>
    <row r="875" ht="26.25" customHeight="1">
      <c r="A875" s="3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</row>
    <row r="876" ht="26.25" customHeight="1">
      <c r="A876" s="3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</row>
    <row r="877" ht="26.25" customHeight="1">
      <c r="A877" s="3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</row>
    <row r="878" ht="26.25" customHeight="1">
      <c r="A878" s="3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</row>
    <row r="879" ht="26.25" customHeight="1">
      <c r="A879" s="3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</row>
    <row r="880" ht="26.25" customHeight="1">
      <c r="A880" s="3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</row>
    <row r="881" ht="26.25" customHeight="1">
      <c r="A881" s="3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</row>
    <row r="882" ht="26.25" customHeight="1">
      <c r="A882" s="3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</row>
    <row r="883" ht="26.25" customHeight="1">
      <c r="A883" s="3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</row>
    <row r="884" ht="26.25" customHeight="1">
      <c r="A884" s="3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</row>
    <row r="885" ht="26.25" customHeight="1">
      <c r="A885" s="3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</row>
    <row r="886" ht="26.25" customHeight="1">
      <c r="A886" s="3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</row>
    <row r="887" ht="26.25" customHeight="1">
      <c r="A887" s="3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</row>
    <row r="888" ht="26.25" customHeight="1">
      <c r="A888" s="3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</row>
    <row r="889" ht="26.25" customHeight="1">
      <c r="A889" s="3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</row>
    <row r="890" ht="26.25" customHeight="1">
      <c r="A890" s="3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</row>
    <row r="891" ht="26.25" customHeight="1">
      <c r="A891" s="3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</row>
    <row r="892" ht="26.25" customHeight="1">
      <c r="A892" s="3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</row>
    <row r="893" ht="26.25" customHeight="1">
      <c r="A893" s="3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</row>
    <row r="894" ht="26.25" customHeight="1">
      <c r="A894" s="3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</row>
    <row r="895" ht="26.25" customHeight="1">
      <c r="A895" s="3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</row>
    <row r="896" ht="26.25" customHeight="1">
      <c r="A896" s="3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</row>
    <row r="897" ht="26.25" customHeight="1">
      <c r="A897" s="3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</row>
    <row r="898" ht="26.25" customHeight="1">
      <c r="A898" s="3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</row>
    <row r="899" ht="26.25" customHeight="1">
      <c r="A899" s="3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</row>
    <row r="900" ht="26.25" customHeight="1">
      <c r="A900" s="3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</row>
    <row r="901" ht="26.25" customHeight="1">
      <c r="A901" s="3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</row>
    <row r="902" ht="26.25" customHeight="1">
      <c r="A902" s="3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</row>
    <row r="903" ht="26.25" customHeight="1">
      <c r="A903" s="3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</row>
    <row r="904" ht="26.25" customHeight="1">
      <c r="A904" s="3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</row>
    <row r="905" ht="26.25" customHeight="1">
      <c r="A905" s="3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</row>
    <row r="906" ht="26.25" customHeight="1">
      <c r="A906" s="3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</row>
    <row r="907" ht="26.25" customHeight="1">
      <c r="A907" s="3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</row>
    <row r="908" ht="26.25" customHeight="1">
      <c r="A908" s="3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</row>
    <row r="909" ht="26.25" customHeight="1">
      <c r="A909" s="3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</row>
    <row r="910" ht="26.25" customHeight="1">
      <c r="A910" s="3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</row>
    <row r="911" ht="26.25" customHeight="1">
      <c r="A911" s="3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</row>
    <row r="912" ht="26.25" customHeight="1">
      <c r="A912" s="3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</row>
    <row r="913" ht="26.25" customHeight="1">
      <c r="A913" s="3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</row>
    <row r="914" ht="26.25" customHeight="1">
      <c r="A914" s="3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</row>
    <row r="915" ht="26.25" customHeight="1">
      <c r="A915" s="3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</row>
    <row r="916" ht="26.25" customHeight="1">
      <c r="A916" s="3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</row>
    <row r="917" ht="26.25" customHeight="1">
      <c r="A917" s="3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</row>
    <row r="918" ht="26.25" customHeight="1">
      <c r="A918" s="3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</row>
    <row r="919" ht="26.25" customHeight="1">
      <c r="A919" s="3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</row>
    <row r="920" ht="26.25" customHeight="1">
      <c r="A920" s="3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</row>
    <row r="921" ht="26.25" customHeight="1">
      <c r="A921" s="3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</row>
    <row r="922" ht="26.25" customHeight="1">
      <c r="A922" s="3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</row>
    <row r="923" ht="26.25" customHeight="1">
      <c r="A923" s="3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</row>
    <row r="924" ht="26.25" customHeight="1">
      <c r="A924" s="3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</row>
    <row r="925" ht="26.25" customHeight="1">
      <c r="A925" s="3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</row>
    <row r="926" ht="26.25" customHeight="1">
      <c r="A926" s="3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</row>
    <row r="927" ht="26.25" customHeight="1">
      <c r="A927" s="3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</row>
    <row r="928" ht="26.25" customHeight="1">
      <c r="A928" s="3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</row>
    <row r="929" ht="26.25" customHeight="1">
      <c r="A929" s="3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</row>
    <row r="930" ht="26.25" customHeight="1">
      <c r="A930" s="3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</row>
    <row r="931" ht="26.25" customHeight="1">
      <c r="A931" s="3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</row>
    <row r="932" ht="26.25" customHeight="1">
      <c r="A932" s="3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</row>
    <row r="933" ht="26.25" customHeight="1">
      <c r="A933" s="3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</row>
    <row r="934" ht="26.25" customHeight="1">
      <c r="A934" s="3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</row>
    <row r="935" ht="26.25" customHeight="1">
      <c r="A935" s="3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</row>
    <row r="936" ht="26.25" customHeight="1">
      <c r="A936" s="3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</row>
    <row r="937" ht="26.25" customHeight="1">
      <c r="A937" s="3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</row>
    <row r="938" ht="26.25" customHeight="1">
      <c r="A938" s="3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</row>
    <row r="939" ht="26.25" customHeight="1">
      <c r="A939" s="3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</row>
    <row r="940" ht="26.25" customHeight="1">
      <c r="A940" s="3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</row>
    <row r="941" ht="26.25" customHeight="1">
      <c r="A941" s="3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</row>
    <row r="942" ht="26.25" customHeight="1">
      <c r="A942" s="3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</row>
    <row r="943" ht="26.25" customHeight="1">
      <c r="A943" s="3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</row>
    <row r="944" ht="26.25" customHeight="1">
      <c r="A944" s="3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</row>
    <row r="945" ht="26.25" customHeight="1">
      <c r="A945" s="3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</row>
    <row r="946" ht="26.25" customHeight="1">
      <c r="A946" s="3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</row>
    <row r="947" ht="26.25" customHeight="1">
      <c r="A947" s="3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</row>
    <row r="948" ht="26.25" customHeight="1">
      <c r="A948" s="3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</row>
    <row r="949" ht="26.25" customHeight="1">
      <c r="A949" s="3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</row>
    <row r="950" ht="26.25" customHeight="1">
      <c r="A950" s="3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</row>
    <row r="951" ht="26.25" customHeight="1">
      <c r="A951" s="3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</row>
    <row r="952" ht="26.25" customHeight="1">
      <c r="A952" s="3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</row>
    <row r="953" ht="26.25" customHeight="1">
      <c r="A953" s="3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</row>
    <row r="954" ht="26.25" customHeight="1">
      <c r="A954" s="3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</row>
    <row r="955" ht="26.25" customHeight="1">
      <c r="A955" s="3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</row>
    <row r="956" ht="26.25" customHeight="1">
      <c r="A956" s="3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</row>
    <row r="957" ht="26.25" customHeight="1">
      <c r="A957" s="3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</row>
    <row r="958" ht="26.25" customHeight="1">
      <c r="A958" s="3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</row>
    <row r="959" ht="26.25" customHeight="1">
      <c r="A959" s="3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</row>
    <row r="960" ht="26.25" customHeight="1">
      <c r="A960" s="3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</row>
    <row r="961" ht="26.25" customHeight="1">
      <c r="A961" s="3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</row>
    <row r="962" ht="26.25" customHeight="1">
      <c r="A962" s="3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</row>
    <row r="963" ht="26.25" customHeight="1">
      <c r="A963" s="3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</row>
    <row r="964" ht="26.25" customHeight="1">
      <c r="A964" s="3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</row>
    <row r="965" ht="26.25" customHeight="1">
      <c r="A965" s="3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</row>
    <row r="966" ht="26.25" customHeight="1">
      <c r="A966" s="3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</row>
    <row r="967" ht="26.25" customHeight="1">
      <c r="A967" s="3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</row>
    <row r="968" ht="26.25" customHeight="1">
      <c r="A968" s="3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</row>
    <row r="969" ht="26.25" customHeight="1">
      <c r="A969" s="3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</row>
    <row r="970" ht="26.25" customHeight="1">
      <c r="A970" s="3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</row>
    <row r="971" ht="26.25" customHeight="1">
      <c r="A971" s="3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</row>
    <row r="972" ht="26.25" customHeight="1">
      <c r="A972" s="3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</row>
    <row r="973" ht="26.25" customHeight="1">
      <c r="A973" s="3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</row>
    <row r="974" ht="26.25" customHeight="1">
      <c r="A974" s="3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</row>
    <row r="975" ht="26.25" customHeight="1">
      <c r="A975" s="3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</row>
    <row r="976" ht="26.25" customHeight="1">
      <c r="A976" s="3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</row>
    <row r="977" ht="26.25" customHeight="1">
      <c r="A977" s="3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</row>
    <row r="978" ht="26.25" customHeight="1">
      <c r="A978" s="3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</row>
    <row r="979" ht="26.25" customHeight="1">
      <c r="A979" s="3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</row>
    <row r="980" ht="26.25" customHeight="1">
      <c r="A980" s="3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</row>
    <row r="981" ht="26.25" customHeight="1">
      <c r="A981" s="3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</row>
    <row r="982" ht="26.25" customHeight="1">
      <c r="A982" s="3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</row>
    <row r="983" ht="26.25" customHeight="1">
      <c r="A983" s="3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</row>
    <row r="984" ht="26.25" customHeight="1">
      <c r="A984" s="3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</row>
    <row r="985" ht="26.25" customHeight="1">
      <c r="A985" s="3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</row>
    <row r="986" ht="26.25" customHeight="1">
      <c r="A986" s="3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</row>
    <row r="987" ht="26.25" customHeight="1">
      <c r="A987" s="3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</row>
    <row r="988" ht="26.25" customHeight="1">
      <c r="A988" s="3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</row>
    <row r="989" ht="26.25" customHeight="1">
      <c r="A989" s="3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</row>
    <row r="990" ht="26.25" customHeight="1">
      <c r="A990" s="3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</row>
    <row r="991" ht="26.25" customHeight="1">
      <c r="A991" s="3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</row>
    <row r="992" ht="26.25" customHeight="1">
      <c r="A992" s="3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</row>
    <row r="993" ht="26.25" customHeight="1">
      <c r="A993" s="3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</row>
    <row r="994" ht="26.25" customHeight="1">
      <c r="A994" s="3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</row>
    <row r="995" ht="26.25" customHeight="1">
      <c r="A995" s="3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</row>
    <row r="996" ht="26.25" customHeight="1">
      <c r="A996" s="3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</row>
    <row r="997" ht="26.25" customHeight="1">
      <c r="A997" s="3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</row>
    <row r="998" ht="26.25" customHeight="1">
      <c r="A998" s="3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</row>
    <row r="999" ht="26.25" customHeight="1">
      <c r="A999" s="3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</row>
    <row r="1000" ht="26.25" customHeight="1">
      <c r="A1000" s="3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</row>
    <row r="1001" ht="26.25" customHeight="1">
      <c r="A1001" s="3"/>
      <c r="B1001" s="2"/>
      <c r="C1001" s="2"/>
      <c r="D1001" s="2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</row>
    <row r="1002" ht="26.25" customHeight="1">
      <c r="A1002" s="3"/>
      <c r="B1002" s="2"/>
      <c r="C1002" s="2"/>
      <c r="D1002" s="2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</row>
    <row r="1003" ht="26.25" customHeight="1">
      <c r="A1003" s="3"/>
      <c r="B1003" s="2"/>
      <c r="C1003" s="2"/>
      <c r="D1003" s="2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</row>
    <row r="1004" ht="26.25" customHeight="1">
      <c r="A1004" s="3"/>
      <c r="B1004" s="2"/>
      <c r="C1004" s="2"/>
      <c r="D1004" s="2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</row>
    <row r="1005" ht="26.25" customHeight="1">
      <c r="A1005" s="3"/>
      <c r="B1005" s="2"/>
      <c r="C1005" s="2"/>
      <c r="D1005" s="2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</row>
    <row r="1006" ht="26.25" customHeight="1">
      <c r="A1006" s="3"/>
      <c r="B1006" s="2"/>
      <c r="C1006" s="2"/>
      <c r="D1006" s="2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</row>
  </sheetData>
  <mergeCells count="1">
    <mergeCell ref="B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22.0"/>
    <col customWidth="1" min="15" max="15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60.0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8"/>
      <c r="O2" s="4"/>
    </row>
    <row r="3" ht="22.5" customHeight="1">
      <c r="A3" s="2"/>
      <c r="B3" s="9" t="s">
        <v>1</v>
      </c>
      <c r="C3" s="10" t="s">
        <v>2</v>
      </c>
      <c r="D3" s="10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2"/>
    </row>
    <row r="4" ht="22.5" customHeight="1">
      <c r="A4" s="2"/>
      <c r="B4" s="12" t="s">
        <v>14</v>
      </c>
      <c r="C4" s="13">
        <f t="shared" ref="C4:N4" si="1">INDIRECT(C$3&amp;"!D18")</f>
        <v>19000</v>
      </c>
      <c r="D4" s="13">
        <f t="shared" si="1"/>
        <v>19000</v>
      </c>
      <c r="E4" s="13">
        <f t="shared" si="1"/>
        <v>19000</v>
      </c>
      <c r="F4" s="13">
        <f t="shared" si="1"/>
        <v>19000</v>
      </c>
      <c r="G4" s="13">
        <f t="shared" si="1"/>
        <v>19000</v>
      </c>
      <c r="H4" s="13">
        <f t="shared" si="1"/>
        <v>19000</v>
      </c>
      <c r="I4" s="13">
        <f t="shared" si="1"/>
        <v>19000</v>
      </c>
      <c r="J4" s="13">
        <f t="shared" si="1"/>
        <v>19000</v>
      </c>
      <c r="K4" s="13">
        <f t="shared" si="1"/>
        <v>19000</v>
      </c>
      <c r="L4" s="13">
        <f t="shared" si="1"/>
        <v>19000</v>
      </c>
      <c r="M4" s="13">
        <f t="shared" si="1"/>
        <v>19000</v>
      </c>
      <c r="N4" s="13">
        <f t="shared" si="1"/>
        <v>19000</v>
      </c>
      <c r="O4" s="2"/>
    </row>
    <row r="5" ht="22.5" customHeight="1">
      <c r="A5" s="2"/>
      <c r="B5" s="12" t="s">
        <v>15</v>
      </c>
      <c r="C5" s="13">
        <f t="shared" ref="C5:N5" si="2">INDIRECT(C$3&amp;"!D30")</f>
        <v>0</v>
      </c>
      <c r="D5" s="13">
        <f t="shared" si="2"/>
        <v>0</v>
      </c>
      <c r="E5" s="13">
        <f t="shared" si="2"/>
        <v>34900</v>
      </c>
      <c r="F5" s="13">
        <f t="shared" si="2"/>
        <v>0</v>
      </c>
      <c r="G5" s="13">
        <f t="shared" si="2"/>
        <v>0</v>
      </c>
      <c r="H5" s="13">
        <f t="shared" si="2"/>
        <v>0</v>
      </c>
      <c r="I5" s="13">
        <f t="shared" si="2"/>
        <v>0</v>
      </c>
      <c r="J5" s="13">
        <f t="shared" si="2"/>
        <v>1835</v>
      </c>
      <c r="K5" s="13">
        <f t="shared" si="2"/>
        <v>0</v>
      </c>
      <c r="L5" s="13">
        <f t="shared" si="2"/>
        <v>0</v>
      </c>
      <c r="M5" s="13">
        <f t="shared" si="2"/>
        <v>0</v>
      </c>
      <c r="N5" s="13">
        <f t="shared" si="2"/>
        <v>0</v>
      </c>
      <c r="O5" s="2"/>
    </row>
    <row r="6" ht="22.5" customHeight="1">
      <c r="A6" s="2"/>
      <c r="B6" s="12" t="s">
        <v>16</v>
      </c>
      <c r="C6" s="13">
        <f t="shared" ref="C6:N6" si="3">INDIRECT(C$3&amp;"!H30")</f>
        <v>0</v>
      </c>
      <c r="D6" s="13">
        <f t="shared" si="3"/>
        <v>0</v>
      </c>
      <c r="E6" s="13">
        <f t="shared" si="3"/>
        <v>0</v>
      </c>
      <c r="F6" s="13">
        <f t="shared" si="3"/>
        <v>0</v>
      </c>
      <c r="G6" s="13">
        <f t="shared" si="3"/>
        <v>0</v>
      </c>
      <c r="H6" s="13">
        <f t="shared" si="3"/>
        <v>0</v>
      </c>
      <c r="I6" s="13">
        <f t="shared" si="3"/>
        <v>0</v>
      </c>
      <c r="J6" s="13">
        <f t="shared" si="3"/>
        <v>0</v>
      </c>
      <c r="K6" s="13">
        <f t="shared" si="3"/>
        <v>0</v>
      </c>
      <c r="L6" s="13">
        <f t="shared" si="3"/>
        <v>0</v>
      </c>
      <c r="M6" s="13">
        <f t="shared" si="3"/>
        <v>0</v>
      </c>
      <c r="N6" s="13">
        <f t="shared" si="3"/>
        <v>0</v>
      </c>
      <c r="O6" s="2"/>
    </row>
    <row r="7" ht="22.5" customHeight="1">
      <c r="A7" s="2"/>
      <c r="B7" s="12" t="s">
        <v>17</v>
      </c>
      <c r="C7" s="13">
        <f t="shared" ref="C7:N7" si="4">INDIRECT(C$3&amp;"!L30")</f>
        <v>0</v>
      </c>
      <c r="D7" s="13">
        <f t="shared" si="4"/>
        <v>0</v>
      </c>
      <c r="E7" s="13">
        <f t="shared" si="4"/>
        <v>0</v>
      </c>
      <c r="F7" s="13">
        <f t="shared" si="4"/>
        <v>0</v>
      </c>
      <c r="G7" s="13">
        <f t="shared" si="4"/>
        <v>0</v>
      </c>
      <c r="H7" s="13">
        <f t="shared" si="4"/>
        <v>0</v>
      </c>
      <c r="I7" s="13">
        <f t="shared" si="4"/>
        <v>0</v>
      </c>
      <c r="J7" s="13">
        <f t="shared" si="4"/>
        <v>0</v>
      </c>
      <c r="K7" s="13">
        <f t="shared" si="4"/>
        <v>0</v>
      </c>
      <c r="L7" s="13">
        <f t="shared" si="4"/>
        <v>0</v>
      </c>
      <c r="M7" s="13">
        <f t="shared" si="4"/>
        <v>0</v>
      </c>
      <c r="N7" s="13">
        <f t="shared" si="4"/>
        <v>0</v>
      </c>
      <c r="O7" s="2"/>
    </row>
    <row r="8" ht="22.5" customHeight="1">
      <c r="A8" s="2"/>
      <c r="B8" s="12" t="s">
        <v>18</v>
      </c>
      <c r="C8" s="13">
        <f t="shared" ref="C8:N8" si="5">INDIRECT(C$3&amp;"!P30")</f>
        <v>0</v>
      </c>
      <c r="D8" s="13">
        <f t="shared" si="5"/>
        <v>0</v>
      </c>
      <c r="E8" s="13">
        <f t="shared" si="5"/>
        <v>0</v>
      </c>
      <c r="F8" s="13">
        <f t="shared" si="5"/>
        <v>0</v>
      </c>
      <c r="G8" s="13">
        <f t="shared" si="5"/>
        <v>0</v>
      </c>
      <c r="H8" s="13">
        <f t="shared" si="5"/>
        <v>0</v>
      </c>
      <c r="I8" s="13">
        <f t="shared" si="5"/>
        <v>0</v>
      </c>
      <c r="J8" s="13">
        <f t="shared" si="5"/>
        <v>1700</v>
      </c>
      <c r="K8" s="13">
        <f t="shared" si="5"/>
        <v>0</v>
      </c>
      <c r="L8" s="13">
        <f t="shared" si="5"/>
        <v>0</v>
      </c>
      <c r="M8" s="13">
        <f t="shared" si="5"/>
        <v>0</v>
      </c>
      <c r="N8" s="13">
        <f t="shared" si="5"/>
        <v>0</v>
      </c>
      <c r="O8" s="2"/>
    </row>
    <row r="9" ht="22.5" customHeight="1">
      <c r="A9" s="2"/>
      <c r="B9" s="14" t="s">
        <v>19</v>
      </c>
      <c r="C9" s="15">
        <f t="shared" ref="C9:N9" si="6">C4-SUM(C5:C8)</f>
        <v>19000</v>
      </c>
      <c r="D9" s="15">
        <f t="shared" si="6"/>
        <v>19000</v>
      </c>
      <c r="E9" s="15">
        <f t="shared" si="6"/>
        <v>-15900</v>
      </c>
      <c r="F9" s="15">
        <f t="shared" si="6"/>
        <v>19000</v>
      </c>
      <c r="G9" s="15">
        <f t="shared" si="6"/>
        <v>19000</v>
      </c>
      <c r="H9" s="15">
        <f t="shared" si="6"/>
        <v>19000</v>
      </c>
      <c r="I9" s="15">
        <f t="shared" si="6"/>
        <v>19000</v>
      </c>
      <c r="J9" s="15">
        <f t="shared" si="6"/>
        <v>15465</v>
      </c>
      <c r="K9" s="15">
        <f t="shared" si="6"/>
        <v>19000</v>
      </c>
      <c r="L9" s="15">
        <f t="shared" si="6"/>
        <v>19000</v>
      </c>
      <c r="M9" s="15">
        <f t="shared" si="6"/>
        <v>19000</v>
      </c>
      <c r="N9" s="15">
        <f t="shared" si="6"/>
        <v>19000</v>
      </c>
      <c r="O9" s="2"/>
    </row>
    <row r="10" ht="15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30.0" customHeight="1">
      <c r="A11" s="16"/>
      <c r="B11" s="17" t="s">
        <v>14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8"/>
      <c r="O11" s="16"/>
    </row>
    <row r="12" ht="22.5" customHeight="1">
      <c r="A12" s="2"/>
      <c r="B12" s="18" t="s">
        <v>20</v>
      </c>
      <c r="C12" s="10" t="s">
        <v>2</v>
      </c>
      <c r="D12" s="10" t="s">
        <v>3</v>
      </c>
      <c r="E12" s="11" t="s">
        <v>4</v>
      </c>
      <c r="F12" s="11" t="s">
        <v>5</v>
      </c>
      <c r="G12" s="11" t="s">
        <v>6</v>
      </c>
      <c r="H12" s="11" t="s">
        <v>7</v>
      </c>
      <c r="I12" s="11" t="s">
        <v>8</v>
      </c>
      <c r="J12" s="11" t="s">
        <v>9</v>
      </c>
      <c r="K12" s="11" t="s">
        <v>10</v>
      </c>
      <c r="L12" s="11" t="s">
        <v>11</v>
      </c>
      <c r="M12" s="11" t="s">
        <v>12</v>
      </c>
      <c r="N12" s="11" t="s">
        <v>13</v>
      </c>
      <c r="O12" s="2"/>
    </row>
    <row r="13" ht="22.5" customHeight="1">
      <c r="A13" s="2"/>
      <c r="B13" s="19" t="s">
        <v>21</v>
      </c>
      <c r="C13" s="13">
        <f t="shared" ref="C13:N13" si="7">SUMIF(INDIRECT(C$12&amp;"!B10:B17"),$B13,INDIRECT(C$12&amp;"!D10:D17"))</f>
        <v>0</v>
      </c>
      <c r="D13" s="13">
        <f t="shared" si="7"/>
        <v>0</v>
      </c>
      <c r="E13" s="13">
        <f t="shared" si="7"/>
        <v>0</v>
      </c>
      <c r="F13" s="13">
        <f t="shared" si="7"/>
        <v>0</v>
      </c>
      <c r="G13" s="13">
        <f t="shared" si="7"/>
        <v>0</v>
      </c>
      <c r="H13" s="13">
        <f t="shared" si="7"/>
        <v>0</v>
      </c>
      <c r="I13" s="13">
        <f t="shared" si="7"/>
        <v>0</v>
      </c>
      <c r="J13" s="13">
        <f t="shared" si="7"/>
        <v>0</v>
      </c>
      <c r="K13" s="13">
        <f t="shared" si="7"/>
        <v>0</v>
      </c>
      <c r="L13" s="13">
        <f t="shared" si="7"/>
        <v>0</v>
      </c>
      <c r="M13" s="13">
        <f t="shared" si="7"/>
        <v>0</v>
      </c>
      <c r="N13" s="13">
        <f t="shared" si="7"/>
        <v>0</v>
      </c>
      <c r="O13" s="2"/>
    </row>
    <row r="14" ht="22.5" customHeight="1">
      <c r="A14" s="2"/>
      <c r="B14" s="19" t="s">
        <v>22</v>
      </c>
      <c r="C14" s="13">
        <f t="shared" ref="C14:N14" si="8">SUMIF(INDIRECT(C$12&amp;"!B10:B17"),$B14,INDIRECT(C$12&amp;"!D10:D17"))</f>
        <v>0</v>
      </c>
      <c r="D14" s="13">
        <f t="shared" si="8"/>
        <v>0</v>
      </c>
      <c r="E14" s="13">
        <f t="shared" si="8"/>
        <v>0</v>
      </c>
      <c r="F14" s="13">
        <f t="shared" si="8"/>
        <v>0</v>
      </c>
      <c r="G14" s="13">
        <f t="shared" si="8"/>
        <v>0</v>
      </c>
      <c r="H14" s="13">
        <f t="shared" si="8"/>
        <v>0</v>
      </c>
      <c r="I14" s="13">
        <f t="shared" si="8"/>
        <v>0</v>
      </c>
      <c r="J14" s="13">
        <f t="shared" si="8"/>
        <v>0</v>
      </c>
      <c r="K14" s="13">
        <f t="shared" si="8"/>
        <v>0</v>
      </c>
      <c r="L14" s="13">
        <f t="shared" si="8"/>
        <v>0</v>
      </c>
      <c r="M14" s="13">
        <f t="shared" si="8"/>
        <v>0</v>
      </c>
      <c r="N14" s="13">
        <f t="shared" si="8"/>
        <v>0</v>
      </c>
      <c r="O14" s="2"/>
    </row>
    <row r="15" ht="22.5" customHeight="1">
      <c r="A15" s="2"/>
      <c r="B15" s="19" t="s">
        <v>23</v>
      </c>
      <c r="C15" s="13">
        <f t="shared" ref="C15:N15" si="9">SUMIF(INDIRECT(C$12&amp;"!B10:B17"),$B15,INDIRECT(C$12&amp;"!D10:D17"))</f>
        <v>0</v>
      </c>
      <c r="D15" s="13">
        <f t="shared" si="9"/>
        <v>0</v>
      </c>
      <c r="E15" s="13">
        <f t="shared" si="9"/>
        <v>0</v>
      </c>
      <c r="F15" s="13">
        <f t="shared" si="9"/>
        <v>0</v>
      </c>
      <c r="G15" s="13">
        <f t="shared" si="9"/>
        <v>0</v>
      </c>
      <c r="H15" s="13">
        <f t="shared" si="9"/>
        <v>0</v>
      </c>
      <c r="I15" s="13">
        <f t="shared" si="9"/>
        <v>0</v>
      </c>
      <c r="J15" s="13">
        <f t="shared" si="9"/>
        <v>0</v>
      </c>
      <c r="K15" s="13">
        <f t="shared" si="9"/>
        <v>0</v>
      </c>
      <c r="L15" s="13">
        <f t="shared" si="9"/>
        <v>0</v>
      </c>
      <c r="M15" s="13">
        <f t="shared" si="9"/>
        <v>0</v>
      </c>
      <c r="N15" s="13">
        <f t="shared" si="9"/>
        <v>0</v>
      </c>
      <c r="O15" s="2"/>
    </row>
    <row r="16" ht="22.5" customHeight="1">
      <c r="A16" s="2"/>
      <c r="B16" s="19" t="s">
        <v>24</v>
      </c>
      <c r="C16" s="13">
        <f t="shared" ref="C16:N16" si="10">SUMIF(INDIRECT(C$12&amp;"!B10:B17"),$B16,INDIRECT(C$12&amp;"!D10:D17"))</f>
        <v>0</v>
      </c>
      <c r="D16" s="13">
        <f t="shared" si="10"/>
        <v>0</v>
      </c>
      <c r="E16" s="13">
        <f t="shared" si="10"/>
        <v>0</v>
      </c>
      <c r="F16" s="13">
        <f t="shared" si="10"/>
        <v>0</v>
      </c>
      <c r="G16" s="13">
        <f t="shared" si="10"/>
        <v>0</v>
      </c>
      <c r="H16" s="13">
        <f t="shared" si="10"/>
        <v>0</v>
      </c>
      <c r="I16" s="13">
        <f t="shared" si="10"/>
        <v>0</v>
      </c>
      <c r="J16" s="13">
        <f t="shared" si="10"/>
        <v>0</v>
      </c>
      <c r="K16" s="13">
        <f t="shared" si="10"/>
        <v>0</v>
      </c>
      <c r="L16" s="13">
        <f t="shared" si="10"/>
        <v>0</v>
      </c>
      <c r="M16" s="13">
        <f t="shared" si="10"/>
        <v>0</v>
      </c>
      <c r="N16" s="13">
        <f t="shared" si="10"/>
        <v>0</v>
      </c>
      <c r="O16" s="2"/>
    </row>
    <row r="17" ht="22.5" customHeight="1">
      <c r="A17" s="2"/>
      <c r="B17" s="19" t="s">
        <v>25</v>
      </c>
      <c r="C17" s="13">
        <f t="shared" ref="C17:N17" si="11">SUMIF(INDIRECT(C$12&amp;"!B10:B17"),$B17,INDIRECT(C$12&amp;"!D10:D17"))</f>
        <v>0</v>
      </c>
      <c r="D17" s="13">
        <f t="shared" si="11"/>
        <v>0</v>
      </c>
      <c r="E17" s="13">
        <f t="shared" si="11"/>
        <v>0</v>
      </c>
      <c r="F17" s="13">
        <f t="shared" si="11"/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 s="13">
        <f t="shared" si="11"/>
        <v>0</v>
      </c>
      <c r="M17" s="13">
        <f t="shared" si="11"/>
        <v>0</v>
      </c>
      <c r="N17" s="13">
        <f t="shared" si="11"/>
        <v>0</v>
      </c>
      <c r="O17" s="2"/>
    </row>
    <row r="18" ht="22.5" customHeight="1">
      <c r="A18" s="2"/>
      <c r="B18" s="19" t="s">
        <v>26</v>
      </c>
      <c r="C18" s="13">
        <f t="shared" ref="C18:N18" si="12">SUMIF(INDIRECT(C$12&amp;"!B10:B17"),$B18,INDIRECT(C$12&amp;"!D10:D17"))</f>
        <v>0</v>
      </c>
      <c r="D18" s="13">
        <f t="shared" si="12"/>
        <v>0</v>
      </c>
      <c r="E18" s="13">
        <f t="shared" si="12"/>
        <v>0</v>
      </c>
      <c r="F18" s="13">
        <f t="shared" si="12"/>
        <v>0</v>
      </c>
      <c r="G18" s="13">
        <f t="shared" si="12"/>
        <v>0</v>
      </c>
      <c r="H18" s="13">
        <f t="shared" si="12"/>
        <v>0</v>
      </c>
      <c r="I18" s="13">
        <f t="shared" si="12"/>
        <v>0</v>
      </c>
      <c r="J18" s="13">
        <f t="shared" si="12"/>
        <v>0</v>
      </c>
      <c r="K18" s="13">
        <f t="shared" si="12"/>
        <v>0</v>
      </c>
      <c r="L18" s="13">
        <f t="shared" si="12"/>
        <v>0</v>
      </c>
      <c r="M18" s="13">
        <f t="shared" si="12"/>
        <v>0</v>
      </c>
      <c r="N18" s="13">
        <f t="shared" si="12"/>
        <v>0</v>
      </c>
      <c r="O18" s="2"/>
    </row>
    <row r="19" ht="22.5" customHeight="1">
      <c r="A19" s="2"/>
      <c r="B19" s="19"/>
      <c r="C19" s="13">
        <f t="shared" ref="C19:N19" si="13">SUMIF(INDIRECT(C$12&amp;"!B10:B17"),$B19,INDIRECT(C$12&amp;"!D10:D17"))</f>
        <v>0</v>
      </c>
      <c r="D19" s="13">
        <f t="shared" si="13"/>
        <v>0</v>
      </c>
      <c r="E19" s="13">
        <f t="shared" si="13"/>
        <v>0</v>
      </c>
      <c r="F19" s="13">
        <f t="shared" si="13"/>
        <v>0</v>
      </c>
      <c r="G19" s="13">
        <f t="shared" si="13"/>
        <v>0</v>
      </c>
      <c r="H19" s="13">
        <f t="shared" si="13"/>
        <v>0</v>
      </c>
      <c r="I19" s="13">
        <f t="shared" si="13"/>
        <v>0</v>
      </c>
      <c r="J19" s="13">
        <f t="shared" si="13"/>
        <v>0</v>
      </c>
      <c r="K19" s="13">
        <f t="shared" si="13"/>
        <v>0</v>
      </c>
      <c r="L19" s="13">
        <f t="shared" si="13"/>
        <v>0</v>
      </c>
      <c r="M19" s="13">
        <f t="shared" si="13"/>
        <v>0</v>
      </c>
      <c r="N19" s="13">
        <f t="shared" si="13"/>
        <v>0</v>
      </c>
      <c r="O19" s="2"/>
    </row>
    <row r="20" ht="22.5" customHeight="1">
      <c r="A20" s="2"/>
      <c r="B20" s="19"/>
      <c r="C20" s="13">
        <f t="shared" ref="C20:N20" si="14">SUMIF(INDIRECT(C$12&amp;"!B10:B17"),$B20,INDIRECT(C$12&amp;"!D10:D17"))</f>
        <v>0</v>
      </c>
      <c r="D20" s="13">
        <f t="shared" si="14"/>
        <v>0</v>
      </c>
      <c r="E20" s="13">
        <f t="shared" si="14"/>
        <v>0</v>
      </c>
      <c r="F20" s="13">
        <f t="shared" si="14"/>
        <v>0</v>
      </c>
      <c r="G20" s="13">
        <f t="shared" si="14"/>
        <v>0</v>
      </c>
      <c r="H20" s="13">
        <f t="shared" si="14"/>
        <v>0</v>
      </c>
      <c r="I20" s="13">
        <f t="shared" si="14"/>
        <v>0</v>
      </c>
      <c r="J20" s="13">
        <f t="shared" si="14"/>
        <v>0</v>
      </c>
      <c r="K20" s="13">
        <f t="shared" si="14"/>
        <v>0</v>
      </c>
      <c r="L20" s="13">
        <f t="shared" si="14"/>
        <v>0</v>
      </c>
      <c r="M20" s="13">
        <f t="shared" si="14"/>
        <v>0</v>
      </c>
      <c r="N20" s="13">
        <f t="shared" si="14"/>
        <v>0</v>
      </c>
      <c r="O20" s="2"/>
    </row>
    <row r="21" ht="22.5" customHeight="1">
      <c r="A21" s="2"/>
      <c r="B21" s="18" t="s">
        <v>27</v>
      </c>
      <c r="C21" s="15">
        <f t="shared" ref="C21:N21" si="15">SUM(C13:C20)</f>
        <v>0</v>
      </c>
      <c r="D21" s="15">
        <f t="shared" si="15"/>
        <v>0</v>
      </c>
      <c r="E21" s="15">
        <f t="shared" si="15"/>
        <v>0</v>
      </c>
      <c r="F21" s="15">
        <f t="shared" si="15"/>
        <v>0</v>
      </c>
      <c r="G21" s="15">
        <f t="shared" si="15"/>
        <v>0</v>
      </c>
      <c r="H21" s="15">
        <f t="shared" si="15"/>
        <v>0</v>
      </c>
      <c r="I21" s="15">
        <f t="shared" si="15"/>
        <v>0</v>
      </c>
      <c r="J21" s="15">
        <f t="shared" si="15"/>
        <v>0</v>
      </c>
      <c r="K21" s="15">
        <f t="shared" si="15"/>
        <v>0</v>
      </c>
      <c r="L21" s="15">
        <f t="shared" si="15"/>
        <v>0</v>
      </c>
      <c r="M21" s="15">
        <f t="shared" si="15"/>
        <v>0</v>
      </c>
      <c r="N21" s="15">
        <f t="shared" si="15"/>
        <v>0</v>
      </c>
      <c r="O21" s="2"/>
    </row>
    <row r="22" ht="15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30.0" customHeight="1">
      <c r="A23" s="16"/>
      <c r="B23" s="17" t="s">
        <v>15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/>
      <c r="O23" s="16"/>
    </row>
    <row r="24">
      <c r="A24" s="2"/>
      <c r="B24" s="14" t="s">
        <v>20</v>
      </c>
      <c r="C24" s="10" t="s">
        <v>2</v>
      </c>
      <c r="D24" s="10" t="s">
        <v>3</v>
      </c>
      <c r="E24" s="11" t="s">
        <v>4</v>
      </c>
      <c r="F24" s="11" t="s">
        <v>5</v>
      </c>
      <c r="G24" s="11" t="s">
        <v>6</v>
      </c>
      <c r="H24" s="11" t="s">
        <v>7</v>
      </c>
      <c r="I24" s="11" t="s">
        <v>8</v>
      </c>
      <c r="J24" s="11" t="s">
        <v>9</v>
      </c>
      <c r="K24" s="11" t="s">
        <v>10</v>
      </c>
      <c r="L24" s="11" t="s">
        <v>11</v>
      </c>
      <c r="M24" s="11" t="s">
        <v>12</v>
      </c>
      <c r="N24" s="11" t="s">
        <v>13</v>
      </c>
      <c r="O24" s="2"/>
    </row>
    <row r="25" ht="22.5" customHeight="1">
      <c r="A25" s="2"/>
      <c r="B25" s="20" t="s">
        <v>28</v>
      </c>
      <c r="C25" s="21">
        <f t="shared" ref="C25:N25" si="16">SUMIF(INDIRECT(C$24&amp;"!B22:B29"),$B25,INDIRECT(C$24&amp;"!D22:D29"))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325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"/>
    </row>
    <row r="26" ht="22.5" customHeight="1">
      <c r="A26" s="2"/>
      <c r="B26" s="20" t="s">
        <v>29</v>
      </c>
      <c r="C26" s="21">
        <f t="shared" ref="C26:N26" si="17">SUMIF(INDIRECT(C$24&amp;"!B22:B29"),$B26,INDIRECT(C$24&amp;"!D22:D29"))</f>
        <v>0</v>
      </c>
      <c r="D26" s="21">
        <f t="shared" si="17"/>
        <v>0</v>
      </c>
      <c r="E26" s="21">
        <f t="shared" si="17"/>
        <v>0</v>
      </c>
      <c r="F26" s="21">
        <f t="shared" si="17"/>
        <v>0</v>
      </c>
      <c r="G26" s="21">
        <f t="shared" si="17"/>
        <v>0</v>
      </c>
      <c r="H26" s="21">
        <f t="shared" si="17"/>
        <v>0</v>
      </c>
      <c r="I26" s="21">
        <f t="shared" si="17"/>
        <v>0</v>
      </c>
      <c r="J26" s="21">
        <f t="shared" si="17"/>
        <v>550</v>
      </c>
      <c r="K26" s="21">
        <f t="shared" si="17"/>
        <v>0</v>
      </c>
      <c r="L26" s="21">
        <f t="shared" si="17"/>
        <v>0</v>
      </c>
      <c r="M26" s="21">
        <f t="shared" si="17"/>
        <v>0</v>
      </c>
      <c r="N26" s="21">
        <f t="shared" si="17"/>
        <v>0</v>
      </c>
      <c r="O26" s="2"/>
    </row>
    <row r="27" ht="22.5" customHeight="1">
      <c r="A27" s="2"/>
      <c r="B27" s="20" t="s">
        <v>30</v>
      </c>
      <c r="C27" s="21">
        <f t="shared" ref="C27:N27" si="18">SUMIF(INDIRECT(C$24&amp;"!B22:B29"),$B27,INDIRECT(C$24&amp;"!D22:D29"))</f>
        <v>0</v>
      </c>
      <c r="D27" s="21">
        <f t="shared" si="18"/>
        <v>0</v>
      </c>
      <c r="E27" s="21">
        <f t="shared" si="18"/>
        <v>0</v>
      </c>
      <c r="F27" s="21">
        <f t="shared" si="18"/>
        <v>0</v>
      </c>
      <c r="G27" s="21">
        <f t="shared" si="18"/>
        <v>0</v>
      </c>
      <c r="H27" s="21">
        <f t="shared" si="18"/>
        <v>0</v>
      </c>
      <c r="I27" s="21">
        <f t="shared" si="18"/>
        <v>0</v>
      </c>
      <c r="J27" s="21">
        <f t="shared" si="18"/>
        <v>210</v>
      </c>
      <c r="K27" s="21">
        <f t="shared" si="18"/>
        <v>0</v>
      </c>
      <c r="L27" s="21">
        <f t="shared" si="18"/>
        <v>0</v>
      </c>
      <c r="M27" s="21">
        <f t="shared" si="18"/>
        <v>0</v>
      </c>
      <c r="N27" s="21">
        <f t="shared" si="18"/>
        <v>0</v>
      </c>
      <c r="O27" s="2"/>
    </row>
    <row r="28" ht="22.5" customHeight="1">
      <c r="A28" s="2"/>
      <c r="B28" s="20" t="s">
        <v>31</v>
      </c>
      <c r="C28" s="21">
        <f t="shared" ref="C28:N28" si="19">SUMIF(INDIRECT(C$24&amp;"!B22:B29"),$B28,INDIRECT(C$24&amp;"!D22:D29"))</f>
        <v>0</v>
      </c>
      <c r="D28" s="21">
        <f t="shared" si="19"/>
        <v>0</v>
      </c>
      <c r="E28" s="21">
        <f t="shared" si="19"/>
        <v>0</v>
      </c>
      <c r="F28" s="21">
        <f t="shared" si="19"/>
        <v>0</v>
      </c>
      <c r="G28" s="21">
        <f t="shared" si="19"/>
        <v>0</v>
      </c>
      <c r="H28" s="21">
        <f t="shared" si="19"/>
        <v>0</v>
      </c>
      <c r="I28" s="21">
        <f t="shared" si="19"/>
        <v>0</v>
      </c>
      <c r="J28" s="21">
        <f t="shared" si="19"/>
        <v>550</v>
      </c>
      <c r="K28" s="21">
        <f t="shared" si="19"/>
        <v>0</v>
      </c>
      <c r="L28" s="21">
        <f t="shared" si="19"/>
        <v>0</v>
      </c>
      <c r="M28" s="21">
        <f t="shared" si="19"/>
        <v>0</v>
      </c>
      <c r="N28" s="21">
        <f t="shared" si="19"/>
        <v>0</v>
      </c>
      <c r="O28" s="2"/>
    </row>
    <row r="29" ht="22.5" customHeight="1">
      <c r="A29" s="2"/>
      <c r="B29" s="20" t="s">
        <v>32</v>
      </c>
      <c r="C29" s="21">
        <f t="shared" ref="C29:N29" si="20">SUMIF(INDIRECT(C$24&amp;"!B22:B29"),$B29,INDIRECT(C$24&amp;"!D22:D29"))</f>
        <v>0</v>
      </c>
      <c r="D29" s="21">
        <f t="shared" si="20"/>
        <v>0</v>
      </c>
      <c r="E29" s="21">
        <f t="shared" si="20"/>
        <v>0</v>
      </c>
      <c r="F29" s="21">
        <f t="shared" si="20"/>
        <v>0</v>
      </c>
      <c r="G29" s="21">
        <f t="shared" si="20"/>
        <v>0</v>
      </c>
      <c r="H29" s="21">
        <f t="shared" si="20"/>
        <v>0</v>
      </c>
      <c r="I29" s="21">
        <f t="shared" si="20"/>
        <v>0</v>
      </c>
      <c r="J29" s="21">
        <f t="shared" si="20"/>
        <v>200</v>
      </c>
      <c r="K29" s="21">
        <f t="shared" si="20"/>
        <v>0</v>
      </c>
      <c r="L29" s="21">
        <f t="shared" si="20"/>
        <v>0</v>
      </c>
      <c r="M29" s="21">
        <f t="shared" si="20"/>
        <v>0</v>
      </c>
      <c r="N29" s="21">
        <f t="shared" si="20"/>
        <v>0</v>
      </c>
      <c r="O29" s="2"/>
    </row>
    <row r="30" ht="22.5" customHeight="1">
      <c r="A30" s="2"/>
      <c r="B30" s="20"/>
      <c r="C30" s="21">
        <f t="shared" ref="C30:N30" si="21">SUMIF(INDIRECT(C$24&amp;"!B22:B29"),$B30,INDIRECT(C$24&amp;"!D22:D29"))</f>
        <v>0</v>
      </c>
      <c r="D30" s="21">
        <f t="shared" si="21"/>
        <v>0</v>
      </c>
      <c r="E30" s="21">
        <f t="shared" si="21"/>
        <v>0</v>
      </c>
      <c r="F30" s="21">
        <f t="shared" si="21"/>
        <v>0</v>
      </c>
      <c r="G30" s="21">
        <f t="shared" si="21"/>
        <v>0</v>
      </c>
      <c r="H30" s="21">
        <f t="shared" si="21"/>
        <v>0</v>
      </c>
      <c r="I30" s="21">
        <f t="shared" si="21"/>
        <v>0</v>
      </c>
      <c r="J30" s="21">
        <f t="shared" si="21"/>
        <v>0</v>
      </c>
      <c r="K30" s="21">
        <f t="shared" si="21"/>
        <v>0</v>
      </c>
      <c r="L30" s="21">
        <f t="shared" si="21"/>
        <v>0</v>
      </c>
      <c r="M30" s="21">
        <f t="shared" si="21"/>
        <v>0</v>
      </c>
      <c r="N30" s="21">
        <f t="shared" si="21"/>
        <v>0</v>
      </c>
      <c r="O30" s="2"/>
    </row>
    <row r="31" ht="22.5" customHeight="1">
      <c r="A31" s="2"/>
      <c r="B31" s="20"/>
      <c r="C31" s="21">
        <f t="shared" ref="C31:N31" si="22">SUMIF(INDIRECT(C$24&amp;"!B22:B29"),$B31,INDIRECT(C$24&amp;"!D22:D29"))</f>
        <v>0</v>
      </c>
      <c r="D31" s="21">
        <f t="shared" si="22"/>
        <v>0</v>
      </c>
      <c r="E31" s="21">
        <f t="shared" si="22"/>
        <v>0</v>
      </c>
      <c r="F31" s="21">
        <f t="shared" si="22"/>
        <v>0</v>
      </c>
      <c r="G31" s="21">
        <f t="shared" si="22"/>
        <v>0</v>
      </c>
      <c r="H31" s="21">
        <f t="shared" si="22"/>
        <v>0</v>
      </c>
      <c r="I31" s="21">
        <f t="shared" si="22"/>
        <v>0</v>
      </c>
      <c r="J31" s="21">
        <f t="shared" si="22"/>
        <v>0</v>
      </c>
      <c r="K31" s="21">
        <f t="shared" si="22"/>
        <v>0</v>
      </c>
      <c r="L31" s="21">
        <f t="shared" si="22"/>
        <v>0</v>
      </c>
      <c r="M31" s="21">
        <f t="shared" si="22"/>
        <v>0</v>
      </c>
      <c r="N31" s="21">
        <f t="shared" si="22"/>
        <v>0</v>
      </c>
      <c r="O31" s="2"/>
    </row>
    <row r="32" ht="22.5" customHeight="1">
      <c r="A32" s="2"/>
      <c r="B32" s="20"/>
      <c r="C32" s="21">
        <f t="shared" ref="C32:N32" si="23">SUMIF(INDIRECT(C$24&amp;"!B22:B29"),$B32,INDIRECT(C$24&amp;"!D22:D29"))</f>
        <v>0</v>
      </c>
      <c r="D32" s="21">
        <f t="shared" si="23"/>
        <v>0</v>
      </c>
      <c r="E32" s="21">
        <f t="shared" si="23"/>
        <v>0</v>
      </c>
      <c r="F32" s="21">
        <f t="shared" si="23"/>
        <v>0</v>
      </c>
      <c r="G32" s="21">
        <f t="shared" si="23"/>
        <v>0</v>
      </c>
      <c r="H32" s="21">
        <f t="shared" si="23"/>
        <v>0</v>
      </c>
      <c r="I32" s="21">
        <f t="shared" si="23"/>
        <v>0</v>
      </c>
      <c r="J32" s="21">
        <f t="shared" si="23"/>
        <v>0</v>
      </c>
      <c r="K32" s="21">
        <f t="shared" si="23"/>
        <v>0</v>
      </c>
      <c r="L32" s="21">
        <f t="shared" si="23"/>
        <v>0</v>
      </c>
      <c r="M32" s="21">
        <f t="shared" si="23"/>
        <v>0</v>
      </c>
      <c r="N32" s="21">
        <f t="shared" si="23"/>
        <v>0</v>
      </c>
      <c r="O32" s="2"/>
    </row>
    <row r="33" ht="22.5" customHeight="1">
      <c r="A33" s="2"/>
      <c r="B33" s="14" t="s">
        <v>33</v>
      </c>
      <c r="C33" s="15">
        <f t="shared" ref="C33:N33" si="24">SUM(C25:C32)</f>
        <v>0</v>
      </c>
      <c r="D33" s="15">
        <f t="shared" si="24"/>
        <v>0</v>
      </c>
      <c r="E33" s="15">
        <f t="shared" si="24"/>
        <v>0</v>
      </c>
      <c r="F33" s="15">
        <f t="shared" si="24"/>
        <v>0</v>
      </c>
      <c r="G33" s="15">
        <f t="shared" si="24"/>
        <v>0</v>
      </c>
      <c r="H33" s="15">
        <f t="shared" si="24"/>
        <v>0</v>
      </c>
      <c r="I33" s="15">
        <f t="shared" si="24"/>
        <v>0</v>
      </c>
      <c r="J33" s="15">
        <f t="shared" si="24"/>
        <v>1835</v>
      </c>
      <c r="K33" s="15">
        <f t="shared" si="24"/>
        <v>0</v>
      </c>
      <c r="L33" s="15">
        <f t="shared" si="24"/>
        <v>0</v>
      </c>
      <c r="M33" s="15">
        <f t="shared" si="24"/>
        <v>0</v>
      </c>
      <c r="N33" s="15">
        <f t="shared" si="24"/>
        <v>0</v>
      </c>
      <c r="O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30.0" customHeight="1">
      <c r="A35" s="16"/>
      <c r="B35" s="17" t="s">
        <v>16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"/>
      <c r="O35" s="16"/>
    </row>
    <row r="36">
      <c r="A36" s="2"/>
      <c r="B36" s="14" t="s">
        <v>20</v>
      </c>
      <c r="C36" s="10" t="s">
        <v>2</v>
      </c>
      <c r="D36" s="10" t="s">
        <v>3</v>
      </c>
      <c r="E36" s="11" t="s">
        <v>4</v>
      </c>
      <c r="F36" s="11" t="s">
        <v>5</v>
      </c>
      <c r="G36" s="11" t="s">
        <v>6</v>
      </c>
      <c r="H36" s="11" t="s">
        <v>7</v>
      </c>
      <c r="I36" s="11" t="s">
        <v>8</v>
      </c>
      <c r="J36" s="11" t="s">
        <v>9</v>
      </c>
      <c r="K36" s="11" t="s">
        <v>10</v>
      </c>
      <c r="L36" s="11" t="s">
        <v>11</v>
      </c>
      <c r="M36" s="11" t="s">
        <v>12</v>
      </c>
      <c r="N36" s="11" t="s">
        <v>13</v>
      </c>
      <c r="O36" s="2"/>
    </row>
    <row r="37" ht="22.5" customHeight="1">
      <c r="A37" s="2"/>
      <c r="B37" s="20" t="s">
        <v>34</v>
      </c>
      <c r="C37" s="21">
        <f t="shared" ref="C37:N37" si="25">SUMIF(INDIRECT(C$36&amp;"!F10:F29"),$B37,INDIRECT(C$36&amp;"!H10:H29"))</f>
        <v>0</v>
      </c>
      <c r="D37" s="21">
        <f t="shared" si="25"/>
        <v>0</v>
      </c>
      <c r="E37" s="21">
        <f t="shared" si="25"/>
        <v>0</v>
      </c>
      <c r="F37" s="21">
        <f t="shared" si="25"/>
        <v>0</v>
      </c>
      <c r="G37" s="21">
        <f t="shared" si="25"/>
        <v>0</v>
      </c>
      <c r="H37" s="21">
        <f t="shared" si="25"/>
        <v>0</v>
      </c>
      <c r="I37" s="21">
        <f t="shared" si="25"/>
        <v>0</v>
      </c>
      <c r="J37" s="21">
        <f t="shared" si="25"/>
        <v>0</v>
      </c>
      <c r="K37" s="21">
        <f t="shared" si="25"/>
        <v>0</v>
      </c>
      <c r="L37" s="21">
        <f t="shared" si="25"/>
        <v>0</v>
      </c>
      <c r="M37" s="21">
        <f t="shared" si="25"/>
        <v>0</v>
      </c>
      <c r="N37" s="21">
        <f t="shared" si="25"/>
        <v>0</v>
      </c>
      <c r="O37" s="2"/>
    </row>
    <row r="38" ht="22.5" customHeight="1">
      <c r="A38" s="2"/>
      <c r="B38" s="20" t="s">
        <v>35</v>
      </c>
      <c r="C38" s="21">
        <f t="shared" ref="C38:N38" si="26">SUMIF(INDIRECT(C$36&amp;"!F10:F29"),$B38,INDIRECT(C$36&amp;"!H10:H29"))</f>
        <v>0</v>
      </c>
      <c r="D38" s="21">
        <f t="shared" si="26"/>
        <v>0</v>
      </c>
      <c r="E38" s="21">
        <f t="shared" si="26"/>
        <v>0</v>
      </c>
      <c r="F38" s="21">
        <f t="shared" si="26"/>
        <v>0</v>
      </c>
      <c r="G38" s="21">
        <f t="shared" si="26"/>
        <v>0</v>
      </c>
      <c r="H38" s="21">
        <f t="shared" si="26"/>
        <v>0</v>
      </c>
      <c r="I38" s="21">
        <f t="shared" si="26"/>
        <v>0</v>
      </c>
      <c r="J38" s="21">
        <f t="shared" si="26"/>
        <v>0</v>
      </c>
      <c r="K38" s="21">
        <f t="shared" si="26"/>
        <v>0</v>
      </c>
      <c r="L38" s="21">
        <f t="shared" si="26"/>
        <v>0</v>
      </c>
      <c r="M38" s="21">
        <f t="shared" si="26"/>
        <v>0</v>
      </c>
      <c r="N38" s="21">
        <f t="shared" si="26"/>
        <v>0</v>
      </c>
      <c r="O38" s="2"/>
    </row>
    <row r="39" ht="22.5" customHeight="1">
      <c r="A39" s="2"/>
      <c r="B39" s="20" t="s">
        <v>36</v>
      </c>
      <c r="C39" s="21">
        <f t="shared" ref="C39:N39" si="27">SUMIF(INDIRECT(C$36&amp;"!F10:F29"),$B39,INDIRECT(C$36&amp;"!H10:H29"))</f>
        <v>0</v>
      </c>
      <c r="D39" s="21">
        <f t="shared" si="27"/>
        <v>0</v>
      </c>
      <c r="E39" s="21">
        <f t="shared" si="27"/>
        <v>0</v>
      </c>
      <c r="F39" s="21">
        <f t="shared" si="27"/>
        <v>0</v>
      </c>
      <c r="G39" s="21">
        <f t="shared" si="27"/>
        <v>0</v>
      </c>
      <c r="H39" s="21">
        <f t="shared" si="27"/>
        <v>0</v>
      </c>
      <c r="I39" s="21">
        <f t="shared" si="27"/>
        <v>0</v>
      </c>
      <c r="J39" s="21">
        <f t="shared" si="27"/>
        <v>0</v>
      </c>
      <c r="K39" s="21">
        <f t="shared" si="27"/>
        <v>0</v>
      </c>
      <c r="L39" s="21">
        <f t="shared" si="27"/>
        <v>0</v>
      </c>
      <c r="M39" s="21">
        <f t="shared" si="27"/>
        <v>0</v>
      </c>
      <c r="N39" s="21">
        <f t="shared" si="27"/>
        <v>0</v>
      </c>
      <c r="O39" s="2"/>
    </row>
    <row r="40" ht="22.5" customHeight="1">
      <c r="A40" s="2"/>
      <c r="B40" s="20" t="s">
        <v>37</v>
      </c>
      <c r="C40" s="21">
        <f t="shared" ref="C40:N40" si="28">SUMIF(INDIRECT(C$36&amp;"!F10:F29"),$B40,INDIRECT(C$36&amp;"!H10:H29"))</f>
        <v>0</v>
      </c>
      <c r="D40" s="21">
        <f t="shared" si="28"/>
        <v>0</v>
      </c>
      <c r="E40" s="21">
        <f t="shared" si="28"/>
        <v>0</v>
      </c>
      <c r="F40" s="21">
        <f t="shared" si="28"/>
        <v>0</v>
      </c>
      <c r="G40" s="21">
        <f t="shared" si="28"/>
        <v>0</v>
      </c>
      <c r="H40" s="21">
        <f t="shared" si="28"/>
        <v>0</v>
      </c>
      <c r="I40" s="21">
        <f t="shared" si="28"/>
        <v>0</v>
      </c>
      <c r="J40" s="21">
        <f t="shared" si="28"/>
        <v>0</v>
      </c>
      <c r="K40" s="21">
        <f t="shared" si="28"/>
        <v>0</v>
      </c>
      <c r="L40" s="21">
        <f t="shared" si="28"/>
        <v>0</v>
      </c>
      <c r="M40" s="21">
        <f t="shared" si="28"/>
        <v>0</v>
      </c>
      <c r="N40" s="21">
        <f t="shared" si="28"/>
        <v>0</v>
      </c>
      <c r="O40" s="2"/>
    </row>
    <row r="41" ht="22.5" customHeight="1">
      <c r="A41" s="2"/>
      <c r="B41" s="20" t="s">
        <v>38</v>
      </c>
      <c r="C41" s="21">
        <f t="shared" ref="C41:N41" si="29">SUMIF(INDIRECT(C$36&amp;"!F10:F29"),$B41,INDIRECT(C$36&amp;"!H10:H29"))</f>
        <v>0</v>
      </c>
      <c r="D41" s="21">
        <f t="shared" si="29"/>
        <v>0</v>
      </c>
      <c r="E41" s="21">
        <f t="shared" si="29"/>
        <v>0</v>
      </c>
      <c r="F41" s="21">
        <f t="shared" si="29"/>
        <v>0</v>
      </c>
      <c r="G41" s="21">
        <f t="shared" si="29"/>
        <v>0</v>
      </c>
      <c r="H41" s="21">
        <f t="shared" si="29"/>
        <v>0</v>
      </c>
      <c r="I41" s="21">
        <f t="shared" si="29"/>
        <v>0</v>
      </c>
      <c r="J41" s="21">
        <f t="shared" si="29"/>
        <v>0</v>
      </c>
      <c r="K41" s="21">
        <f t="shared" si="29"/>
        <v>0</v>
      </c>
      <c r="L41" s="21">
        <f t="shared" si="29"/>
        <v>0</v>
      </c>
      <c r="M41" s="21">
        <f t="shared" si="29"/>
        <v>0</v>
      </c>
      <c r="N41" s="21">
        <f t="shared" si="29"/>
        <v>0</v>
      </c>
      <c r="O41" s="2"/>
    </row>
    <row r="42" ht="22.5" customHeight="1">
      <c r="A42" s="2"/>
      <c r="B42" s="20" t="s">
        <v>39</v>
      </c>
      <c r="C42" s="21">
        <f t="shared" ref="C42:N42" si="30">SUMIF(INDIRECT(C$36&amp;"!F10:F29"),$B42,INDIRECT(C$36&amp;"!H10:H29"))</f>
        <v>0</v>
      </c>
      <c r="D42" s="21">
        <f t="shared" si="30"/>
        <v>0</v>
      </c>
      <c r="E42" s="21">
        <f t="shared" si="30"/>
        <v>0</v>
      </c>
      <c r="F42" s="21">
        <f t="shared" si="30"/>
        <v>0</v>
      </c>
      <c r="G42" s="21">
        <f t="shared" si="30"/>
        <v>0</v>
      </c>
      <c r="H42" s="21">
        <f t="shared" si="30"/>
        <v>0</v>
      </c>
      <c r="I42" s="21">
        <f t="shared" si="30"/>
        <v>0</v>
      </c>
      <c r="J42" s="21">
        <f t="shared" si="30"/>
        <v>0</v>
      </c>
      <c r="K42" s="21">
        <f t="shared" si="30"/>
        <v>0</v>
      </c>
      <c r="L42" s="21">
        <f t="shared" si="30"/>
        <v>0</v>
      </c>
      <c r="M42" s="21">
        <f t="shared" si="30"/>
        <v>0</v>
      </c>
      <c r="N42" s="21">
        <f t="shared" si="30"/>
        <v>0</v>
      </c>
      <c r="O42" s="2"/>
    </row>
    <row r="43" ht="22.5" customHeight="1">
      <c r="A43" s="2"/>
      <c r="B43" s="20" t="s">
        <v>40</v>
      </c>
      <c r="C43" s="21">
        <f t="shared" ref="C43:N43" si="31">SUMIF(INDIRECT(C$36&amp;"!F10:F29"),$B43,INDIRECT(C$36&amp;"!H10:H29"))</f>
        <v>0</v>
      </c>
      <c r="D43" s="21">
        <f t="shared" si="31"/>
        <v>0</v>
      </c>
      <c r="E43" s="21">
        <f t="shared" si="31"/>
        <v>0</v>
      </c>
      <c r="F43" s="21">
        <f t="shared" si="31"/>
        <v>0</v>
      </c>
      <c r="G43" s="21">
        <f t="shared" si="31"/>
        <v>0</v>
      </c>
      <c r="H43" s="21">
        <f t="shared" si="31"/>
        <v>0</v>
      </c>
      <c r="I43" s="21">
        <f t="shared" si="31"/>
        <v>0</v>
      </c>
      <c r="J43" s="21">
        <f t="shared" si="31"/>
        <v>0</v>
      </c>
      <c r="K43" s="21">
        <f t="shared" si="31"/>
        <v>0</v>
      </c>
      <c r="L43" s="21">
        <f t="shared" si="31"/>
        <v>0</v>
      </c>
      <c r="M43" s="21">
        <f t="shared" si="31"/>
        <v>0</v>
      </c>
      <c r="N43" s="21">
        <f t="shared" si="31"/>
        <v>0</v>
      </c>
      <c r="O43" s="2"/>
    </row>
    <row r="44" ht="22.5" customHeight="1">
      <c r="A44" s="2"/>
      <c r="B44" s="20" t="s">
        <v>41</v>
      </c>
      <c r="C44" s="21">
        <f t="shared" ref="C44:N44" si="32">SUMIF(INDIRECT(C$36&amp;"!F10:F29"),$B44,INDIRECT(C$36&amp;"!H10:H29"))</f>
        <v>0</v>
      </c>
      <c r="D44" s="21">
        <f t="shared" si="32"/>
        <v>0</v>
      </c>
      <c r="E44" s="21">
        <f t="shared" si="32"/>
        <v>0</v>
      </c>
      <c r="F44" s="21">
        <f t="shared" si="32"/>
        <v>0</v>
      </c>
      <c r="G44" s="21">
        <f t="shared" si="32"/>
        <v>0</v>
      </c>
      <c r="H44" s="21">
        <f t="shared" si="32"/>
        <v>0</v>
      </c>
      <c r="I44" s="21">
        <f t="shared" si="32"/>
        <v>0</v>
      </c>
      <c r="J44" s="21">
        <f t="shared" si="32"/>
        <v>0</v>
      </c>
      <c r="K44" s="21">
        <f t="shared" si="32"/>
        <v>0</v>
      </c>
      <c r="L44" s="21">
        <f t="shared" si="32"/>
        <v>0</v>
      </c>
      <c r="M44" s="21">
        <f t="shared" si="32"/>
        <v>0</v>
      </c>
      <c r="N44" s="21">
        <f t="shared" si="32"/>
        <v>0</v>
      </c>
      <c r="O44" s="2"/>
    </row>
    <row r="45" ht="22.5" customHeight="1">
      <c r="A45" s="2"/>
      <c r="B45" s="20"/>
      <c r="C45" s="21">
        <f t="shared" ref="C45:N45" si="33">SUMIF(INDIRECT(C$36&amp;"!F10:F29"),$B45,INDIRECT(C$36&amp;"!H10:H29"))</f>
        <v>0</v>
      </c>
      <c r="D45" s="21">
        <f t="shared" si="33"/>
        <v>0</v>
      </c>
      <c r="E45" s="21">
        <f t="shared" si="33"/>
        <v>0</v>
      </c>
      <c r="F45" s="21">
        <f t="shared" si="33"/>
        <v>0</v>
      </c>
      <c r="G45" s="21">
        <f t="shared" si="33"/>
        <v>0</v>
      </c>
      <c r="H45" s="21">
        <f t="shared" si="33"/>
        <v>0</v>
      </c>
      <c r="I45" s="21">
        <f t="shared" si="33"/>
        <v>0</v>
      </c>
      <c r="J45" s="21">
        <f t="shared" si="33"/>
        <v>0</v>
      </c>
      <c r="K45" s="21">
        <f t="shared" si="33"/>
        <v>0</v>
      </c>
      <c r="L45" s="21">
        <f t="shared" si="33"/>
        <v>0</v>
      </c>
      <c r="M45" s="21">
        <f t="shared" si="33"/>
        <v>0</v>
      </c>
      <c r="N45" s="21">
        <f t="shared" si="33"/>
        <v>0</v>
      </c>
      <c r="O45" s="2"/>
    </row>
    <row r="46" ht="22.5" customHeight="1">
      <c r="A46" s="2"/>
      <c r="B46" s="20"/>
      <c r="C46" s="21">
        <f t="shared" ref="C46:N46" si="34">SUMIF(INDIRECT(C$36&amp;"!F10:F29"),$B46,INDIRECT(C$36&amp;"!H10:H29"))</f>
        <v>0</v>
      </c>
      <c r="D46" s="21">
        <f t="shared" si="34"/>
        <v>0</v>
      </c>
      <c r="E46" s="21">
        <f t="shared" si="34"/>
        <v>0</v>
      </c>
      <c r="F46" s="21">
        <f t="shared" si="34"/>
        <v>0</v>
      </c>
      <c r="G46" s="21">
        <f t="shared" si="34"/>
        <v>0</v>
      </c>
      <c r="H46" s="21">
        <f t="shared" si="34"/>
        <v>0</v>
      </c>
      <c r="I46" s="21">
        <f t="shared" si="34"/>
        <v>0</v>
      </c>
      <c r="J46" s="21">
        <f t="shared" si="34"/>
        <v>0</v>
      </c>
      <c r="K46" s="21">
        <f t="shared" si="34"/>
        <v>0</v>
      </c>
      <c r="L46" s="21">
        <f t="shared" si="34"/>
        <v>0</v>
      </c>
      <c r="M46" s="21">
        <f t="shared" si="34"/>
        <v>0</v>
      </c>
      <c r="N46" s="21">
        <f t="shared" si="34"/>
        <v>0</v>
      </c>
      <c r="O46" s="2"/>
    </row>
    <row r="47" ht="22.5" customHeight="1">
      <c r="A47" s="2"/>
      <c r="B47" s="20"/>
      <c r="C47" s="21">
        <f t="shared" ref="C47:N47" si="35">SUMIF(INDIRECT(C$36&amp;"!F10:F29"),$B47,INDIRECT(C$36&amp;"!H10:H29"))</f>
        <v>0</v>
      </c>
      <c r="D47" s="21">
        <f t="shared" si="35"/>
        <v>0</v>
      </c>
      <c r="E47" s="21">
        <f t="shared" si="35"/>
        <v>0</v>
      </c>
      <c r="F47" s="21">
        <f t="shared" si="35"/>
        <v>0</v>
      </c>
      <c r="G47" s="21">
        <f t="shared" si="35"/>
        <v>0</v>
      </c>
      <c r="H47" s="21">
        <f t="shared" si="35"/>
        <v>0</v>
      </c>
      <c r="I47" s="21">
        <f t="shared" si="35"/>
        <v>0</v>
      </c>
      <c r="J47" s="21">
        <f t="shared" si="35"/>
        <v>0</v>
      </c>
      <c r="K47" s="21">
        <f t="shared" si="35"/>
        <v>0</v>
      </c>
      <c r="L47" s="21">
        <f t="shared" si="35"/>
        <v>0</v>
      </c>
      <c r="M47" s="21">
        <f t="shared" si="35"/>
        <v>0</v>
      </c>
      <c r="N47" s="21">
        <f t="shared" si="35"/>
        <v>0</v>
      </c>
      <c r="O47" s="2"/>
    </row>
    <row r="48" ht="22.5" customHeight="1">
      <c r="A48" s="2"/>
      <c r="B48" s="20"/>
      <c r="C48" s="21">
        <f t="shared" ref="C48:N48" si="36">SUMIF(INDIRECT(C$36&amp;"!F10:F29"),$B48,INDIRECT(C$36&amp;"!H10:H29"))</f>
        <v>0</v>
      </c>
      <c r="D48" s="21">
        <f t="shared" si="36"/>
        <v>0</v>
      </c>
      <c r="E48" s="21">
        <f t="shared" si="36"/>
        <v>0</v>
      </c>
      <c r="F48" s="21">
        <f t="shared" si="36"/>
        <v>0</v>
      </c>
      <c r="G48" s="21">
        <f t="shared" si="36"/>
        <v>0</v>
      </c>
      <c r="H48" s="21">
        <f t="shared" si="36"/>
        <v>0</v>
      </c>
      <c r="I48" s="21">
        <f t="shared" si="36"/>
        <v>0</v>
      </c>
      <c r="J48" s="21">
        <f t="shared" si="36"/>
        <v>0</v>
      </c>
      <c r="K48" s="21">
        <f t="shared" si="36"/>
        <v>0</v>
      </c>
      <c r="L48" s="21">
        <f t="shared" si="36"/>
        <v>0</v>
      </c>
      <c r="M48" s="21">
        <f t="shared" si="36"/>
        <v>0</v>
      </c>
      <c r="N48" s="21">
        <f t="shared" si="36"/>
        <v>0</v>
      </c>
      <c r="O48" s="2"/>
    </row>
    <row r="49" ht="22.5" customHeight="1">
      <c r="A49" s="2"/>
      <c r="B49" s="20"/>
      <c r="C49" s="21">
        <f t="shared" ref="C49:N49" si="37">SUMIF(INDIRECT(C$36&amp;"!F10:F29"),$B49,INDIRECT(C$36&amp;"!H10:H29"))</f>
        <v>0</v>
      </c>
      <c r="D49" s="21">
        <f t="shared" si="37"/>
        <v>0</v>
      </c>
      <c r="E49" s="21">
        <f t="shared" si="37"/>
        <v>0</v>
      </c>
      <c r="F49" s="21">
        <f t="shared" si="37"/>
        <v>0</v>
      </c>
      <c r="G49" s="21">
        <f t="shared" si="37"/>
        <v>0</v>
      </c>
      <c r="H49" s="21">
        <f t="shared" si="37"/>
        <v>0</v>
      </c>
      <c r="I49" s="21">
        <f t="shared" si="37"/>
        <v>0</v>
      </c>
      <c r="J49" s="21">
        <f t="shared" si="37"/>
        <v>0</v>
      </c>
      <c r="K49" s="21">
        <f t="shared" si="37"/>
        <v>0</v>
      </c>
      <c r="L49" s="21">
        <f t="shared" si="37"/>
        <v>0</v>
      </c>
      <c r="M49" s="21">
        <f t="shared" si="37"/>
        <v>0</v>
      </c>
      <c r="N49" s="21">
        <f t="shared" si="37"/>
        <v>0</v>
      </c>
      <c r="O49" s="2"/>
    </row>
    <row r="50" ht="22.5" customHeight="1">
      <c r="A50" s="2"/>
      <c r="B50" s="20"/>
      <c r="C50" s="21">
        <f t="shared" ref="C50:N50" si="38">SUMIF(INDIRECT(C$36&amp;"!F10:F29"),$B50,INDIRECT(C$36&amp;"!H10:H29"))</f>
        <v>0</v>
      </c>
      <c r="D50" s="21">
        <f t="shared" si="38"/>
        <v>0</v>
      </c>
      <c r="E50" s="21">
        <f t="shared" si="38"/>
        <v>0</v>
      </c>
      <c r="F50" s="21">
        <f t="shared" si="38"/>
        <v>0</v>
      </c>
      <c r="G50" s="21">
        <f t="shared" si="38"/>
        <v>0</v>
      </c>
      <c r="H50" s="21">
        <f t="shared" si="38"/>
        <v>0</v>
      </c>
      <c r="I50" s="21">
        <f t="shared" si="38"/>
        <v>0</v>
      </c>
      <c r="J50" s="21">
        <f t="shared" si="38"/>
        <v>0</v>
      </c>
      <c r="K50" s="21">
        <f t="shared" si="38"/>
        <v>0</v>
      </c>
      <c r="L50" s="21">
        <f t="shared" si="38"/>
        <v>0</v>
      </c>
      <c r="M50" s="21">
        <f t="shared" si="38"/>
        <v>0</v>
      </c>
      <c r="N50" s="21">
        <f t="shared" si="38"/>
        <v>0</v>
      </c>
      <c r="O50" s="2"/>
    </row>
    <row r="51" ht="22.5" customHeight="1">
      <c r="A51" s="2"/>
      <c r="B51" s="20"/>
      <c r="C51" s="21">
        <f t="shared" ref="C51:N51" si="39">SUMIF(INDIRECT(C$36&amp;"!F10:F29"),$B51,INDIRECT(C$36&amp;"!H10:H29"))</f>
        <v>0</v>
      </c>
      <c r="D51" s="21">
        <f t="shared" si="39"/>
        <v>0</v>
      </c>
      <c r="E51" s="21">
        <f t="shared" si="39"/>
        <v>0</v>
      </c>
      <c r="F51" s="21">
        <f t="shared" si="39"/>
        <v>0</v>
      </c>
      <c r="G51" s="21">
        <f t="shared" si="39"/>
        <v>0</v>
      </c>
      <c r="H51" s="21">
        <f t="shared" si="39"/>
        <v>0</v>
      </c>
      <c r="I51" s="21">
        <f t="shared" si="39"/>
        <v>0</v>
      </c>
      <c r="J51" s="21">
        <f t="shared" si="39"/>
        <v>0</v>
      </c>
      <c r="K51" s="21">
        <f t="shared" si="39"/>
        <v>0</v>
      </c>
      <c r="L51" s="21">
        <f t="shared" si="39"/>
        <v>0</v>
      </c>
      <c r="M51" s="21">
        <f t="shared" si="39"/>
        <v>0</v>
      </c>
      <c r="N51" s="21">
        <f t="shared" si="39"/>
        <v>0</v>
      </c>
      <c r="O51" s="2"/>
    </row>
    <row r="52" ht="22.5" customHeight="1">
      <c r="A52" s="2"/>
      <c r="B52" s="20"/>
      <c r="C52" s="21">
        <f t="shared" ref="C52:N52" si="40">SUMIF(INDIRECT(C$36&amp;"!F10:F29"),$B52,INDIRECT(C$36&amp;"!H10:H29"))</f>
        <v>0</v>
      </c>
      <c r="D52" s="21">
        <f t="shared" si="40"/>
        <v>0</v>
      </c>
      <c r="E52" s="21">
        <f t="shared" si="40"/>
        <v>0</v>
      </c>
      <c r="F52" s="21">
        <f t="shared" si="40"/>
        <v>0</v>
      </c>
      <c r="G52" s="21">
        <f t="shared" si="40"/>
        <v>0</v>
      </c>
      <c r="H52" s="21">
        <f t="shared" si="40"/>
        <v>0</v>
      </c>
      <c r="I52" s="21">
        <f t="shared" si="40"/>
        <v>0</v>
      </c>
      <c r="J52" s="21">
        <f t="shared" si="40"/>
        <v>0</v>
      </c>
      <c r="K52" s="21">
        <f t="shared" si="40"/>
        <v>0</v>
      </c>
      <c r="L52" s="21">
        <f t="shared" si="40"/>
        <v>0</v>
      </c>
      <c r="M52" s="21">
        <f t="shared" si="40"/>
        <v>0</v>
      </c>
      <c r="N52" s="21">
        <f t="shared" si="40"/>
        <v>0</v>
      </c>
      <c r="O52" s="2"/>
    </row>
    <row r="53" ht="22.5" customHeight="1">
      <c r="A53" s="2"/>
      <c r="B53" s="20"/>
      <c r="C53" s="21">
        <f t="shared" ref="C53:N53" si="41">SUMIF(INDIRECT(C$36&amp;"!F10:F29"),$B53,INDIRECT(C$36&amp;"!H10:H29"))</f>
        <v>0</v>
      </c>
      <c r="D53" s="21">
        <f t="shared" si="41"/>
        <v>0</v>
      </c>
      <c r="E53" s="21">
        <f t="shared" si="41"/>
        <v>0</v>
      </c>
      <c r="F53" s="21">
        <f t="shared" si="41"/>
        <v>0</v>
      </c>
      <c r="G53" s="21">
        <f t="shared" si="41"/>
        <v>0</v>
      </c>
      <c r="H53" s="21">
        <f t="shared" si="41"/>
        <v>0</v>
      </c>
      <c r="I53" s="21">
        <f t="shared" si="41"/>
        <v>0</v>
      </c>
      <c r="J53" s="21">
        <f t="shared" si="41"/>
        <v>0</v>
      </c>
      <c r="K53" s="21">
        <f t="shared" si="41"/>
        <v>0</v>
      </c>
      <c r="L53" s="21">
        <f t="shared" si="41"/>
        <v>0</v>
      </c>
      <c r="M53" s="21">
        <f t="shared" si="41"/>
        <v>0</v>
      </c>
      <c r="N53" s="21">
        <f t="shared" si="41"/>
        <v>0</v>
      </c>
      <c r="O53" s="2"/>
    </row>
    <row r="54" ht="22.5" customHeight="1">
      <c r="A54" s="2"/>
      <c r="B54" s="20"/>
      <c r="C54" s="21">
        <f t="shared" ref="C54:N54" si="42">SUMIF(INDIRECT(C$36&amp;"!F10:F29"),$B54,INDIRECT(C$36&amp;"!H10:H29"))</f>
        <v>0</v>
      </c>
      <c r="D54" s="21">
        <f t="shared" si="42"/>
        <v>0</v>
      </c>
      <c r="E54" s="21">
        <f t="shared" si="42"/>
        <v>0</v>
      </c>
      <c r="F54" s="21">
        <f t="shared" si="42"/>
        <v>0</v>
      </c>
      <c r="G54" s="21">
        <f t="shared" si="42"/>
        <v>0</v>
      </c>
      <c r="H54" s="21">
        <f t="shared" si="42"/>
        <v>0</v>
      </c>
      <c r="I54" s="21">
        <f t="shared" si="42"/>
        <v>0</v>
      </c>
      <c r="J54" s="21">
        <f t="shared" si="42"/>
        <v>0</v>
      </c>
      <c r="K54" s="21">
        <f t="shared" si="42"/>
        <v>0</v>
      </c>
      <c r="L54" s="21">
        <f t="shared" si="42"/>
        <v>0</v>
      </c>
      <c r="M54" s="21">
        <f t="shared" si="42"/>
        <v>0</v>
      </c>
      <c r="N54" s="21">
        <f t="shared" si="42"/>
        <v>0</v>
      </c>
      <c r="O54" s="2"/>
    </row>
    <row r="55" ht="22.5" customHeight="1">
      <c r="A55" s="2"/>
      <c r="B55" s="20"/>
      <c r="C55" s="21">
        <f t="shared" ref="C55:N55" si="43">SUMIF(INDIRECT(C$36&amp;"!F10:F29"),$B55,INDIRECT(C$36&amp;"!H10:H29"))</f>
        <v>0</v>
      </c>
      <c r="D55" s="21">
        <f t="shared" si="43"/>
        <v>0</v>
      </c>
      <c r="E55" s="21">
        <f t="shared" si="43"/>
        <v>0</v>
      </c>
      <c r="F55" s="21">
        <f t="shared" si="43"/>
        <v>0</v>
      </c>
      <c r="G55" s="21">
        <f t="shared" si="43"/>
        <v>0</v>
      </c>
      <c r="H55" s="21">
        <f t="shared" si="43"/>
        <v>0</v>
      </c>
      <c r="I55" s="21">
        <f t="shared" si="43"/>
        <v>0</v>
      </c>
      <c r="J55" s="21">
        <f t="shared" si="43"/>
        <v>0</v>
      </c>
      <c r="K55" s="21">
        <f t="shared" si="43"/>
        <v>0</v>
      </c>
      <c r="L55" s="21">
        <f t="shared" si="43"/>
        <v>0</v>
      </c>
      <c r="M55" s="21">
        <f t="shared" si="43"/>
        <v>0</v>
      </c>
      <c r="N55" s="21">
        <f t="shared" si="43"/>
        <v>0</v>
      </c>
      <c r="O55" s="2"/>
    </row>
    <row r="56" ht="22.5" customHeight="1">
      <c r="A56" s="2"/>
      <c r="B56" s="20"/>
      <c r="C56" s="21">
        <f t="shared" ref="C56:N56" si="44">SUMIF(INDIRECT(C$36&amp;"!F10:F29"),$B56,INDIRECT(C$36&amp;"!H10:H29"))</f>
        <v>0</v>
      </c>
      <c r="D56" s="21">
        <f t="shared" si="44"/>
        <v>0</v>
      </c>
      <c r="E56" s="21">
        <f t="shared" si="44"/>
        <v>0</v>
      </c>
      <c r="F56" s="21">
        <f t="shared" si="44"/>
        <v>0</v>
      </c>
      <c r="G56" s="21">
        <f t="shared" si="44"/>
        <v>0</v>
      </c>
      <c r="H56" s="21">
        <f t="shared" si="44"/>
        <v>0</v>
      </c>
      <c r="I56" s="21">
        <f t="shared" si="44"/>
        <v>0</v>
      </c>
      <c r="J56" s="21">
        <f t="shared" si="44"/>
        <v>0</v>
      </c>
      <c r="K56" s="21">
        <f t="shared" si="44"/>
        <v>0</v>
      </c>
      <c r="L56" s="21">
        <f t="shared" si="44"/>
        <v>0</v>
      </c>
      <c r="M56" s="21">
        <f t="shared" si="44"/>
        <v>0</v>
      </c>
      <c r="N56" s="21">
        <f t="shared" si="44"/>
        <v>0</v>
      </c>
      <c r="O56" s="2"/>
    </row>
    <row r="57" ht="22.5" customHeight="1">
      <c r="A57" s="2"/>
      <c r="B57" s="14" t="s">
        <v>42</v>
      </c>
      <c r="C57" s="15">
        <f t="shared" ref="C57:N57" si="45">SUM(C37:C56)</f>
        <v>0</v>
      </c>
      <c r="D57" s="15">
        <f t="shared" si="45"/>
        <v>0</v>
      </c>
      <c r="E57" s="15">
        <f t="shared" si="45"/>
        <v>0</v>
      </c>
      <c r="F57" s="15">
        <f t="shared" si="45"/>
        <v>0</v>
      </c>
      <c r="G57" s="15">
        <f t="shared" si="45"/>
        <v>0</v>
      </c>
      <c r="H57" s="15">
        <f t="shared" si="45"/>
        <v>0</v>
      </c>
      <c r="I57" s="15">
        <f t="shared" si="45"/>
        <v>0</v>
      </c>
      <c r="J57" s="15">
        <f t="shared" si="45"/>
        <v>0</v>
      </c>
      <c r="K57" s="15">
        <f t="shared" si="45"/>
        <v>0</v>
      </c>
      <c r="L57" s="15">
        <f t="shared" si="45"/>
        <v>0</v>
      </c>
      <c r="M57" s="15">
        <f t="shared" si="45"/>
        <v>0</v>
      </c>
      <c r="N57" s="15">
        <f t="shared" si="45"/>
        <v>0</v>
      </c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30.0" customHeight="1">
      <c r="A59" s="16"/>
      <c r="B59" s="17" t="s">
        <v>17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8"/>
      <c r="O59" s="16"/>
    </row>
    <row r="60">
      <c r="A60" s="2"/>
      <c r="B60" s="14" t="s">
        <v>20</v>
      </c>
      <c r="C60" s="10" t="s">
        <v>2</v>
      </c>
      <c r="D60" s="10" t="s">
        <v>3</v>
      </c>
      <c r="E60" s="11" t="s">
        <v>4</v>
      </c>
      <c r="F60" s="11" t="s">
        <v>5</v>
      </c>
      <c r="G60" s="11" t="s">
        <v>6</v>
      </c>
      <c r="H60" s="11" t="s">
        <v>7</v>
      </c>
      <c r="I60" s="11" t="s">
        <v>8</v>
      </c>
      <c r="J60" s="11" t="s">
        <v>9</v>
      </c>
      <c r="K60" s="11" t="s">
        <v>10</v>
      </c>
      <c r="L60" s="11" t="s">
        <v>11</v>
      </c>
      <c r="M60" s="11" t="s">
        <v>12</v>
      </c>
      <c r="N60" s="11" t="s">
        <v>13</v>
      </c>
      <c r="O60" s="2"/>
    </row>
    <row r="61" ht="22.5" customHeight="1">
      <c r="A61" s="2"/>
      <c r="B61" s="20" t="s">
        <v>43</v>
      </c>
      <c r="C61" s="21">
        <f t="shared" ref="C61:N61" si="46">SUMIF(INDIRECT(C$60&amp;"!J10:J29"),$B61,INDIRECT(C$60&amp;"!L10:L29"))</f>
        <v>0</v>
      </c>
      <c r="D61" s="21">
        <f t="shared" si="46"/>
        <v>0</v>
      </c>
      <c r="E61" s="21">
        <f t="shared" si="46"/>
        <v>0</v>
      </c>
      <c r="F61" s="21">
        <f t="shared" si="46"/>
        <v>0</v>
      </c>
      <c r="G61" s="21">
        <f t="shared" si="46"/>
        <v>0</v>
      </c>
      <c r="H61" s="21">
        <f t="shared" si="46"/>
        <v>0</v>
      </c>
      <c r="I61" s="21">
        <f t="shared" si="46"/>
        <v>0</v>
      </c>
      <c r="J61" s="21">
        <f t="shared" si="46"/>
        <v>0</v>
      </c>
      <c r="K61" s="21">
        <f t="shared" si="46"/>
        <v>0</v>
      </c>
      <c r="L61" s="21">
        <f t="shared" si="46"/>
        <v>0</v>
      </c>
      <c r="M61" s="21">
        <f t="shared" si="46"/>
        <v>0</v>
      </c>
      <c r="N61" s="21">
        <f t="shared" si="46"/>
        <v>0</v>
      </c>
      <c r="O61" s="2"/>
    </row>
    <row r="62" ht="22.5" customHeight="1">
      <c r="A62" s="2"/>
      <c r="B62" s="20" t="s">
        <v>44</v>
      </c>
      <c r="C62" s="21">
        <f t="shared" ref="C62:N62" si="47">SUMIF(INDIRECT(C$60&amp;"!J10:J29"),$B62,INDIRECT(C$60&amp;"!L10:L29"))</f>
        <v>0</v>
      </c>
      <c r="D62" s="21">
        <f t="shared" si="47"/>
        <v>0</v>
      </c>
      <c r="E62" s="21">
        <f t="shared" si="47"/>
        <v>0</v>
      </c>
      <c r="F62" s="21">
        <f t="shared" si="47"/>
        <v>0</v>
      </c>
      <c r="G62" s="21">
        <f t="shared" si="47"/>
        <v>0</v>
      </c>
      <c r="H62" s="21">
        <f t="shared" si="47"/>
        <v>0</v>
      </c>
      <c r="I62" s="21">
        <f t="shared" si="47"/>
        <v>0</v>
      </c>
      <c r="J62" s="21">
        <f t="shared" si="47"/>
        <v>0</v>
      </c>
      <c r="K62" s="21">
        <f t="shared" si="47"/>
        <v>0</v>
      </c>
      <c r="L62" s="21">
        <f t="shared" si="47"/>
        <v>0</v>
      </c>
      <c r="M62" s="21">
        <f t="shared" si="47"/>
        <v>0</v>
      </c>
      <c r="N62" s="21">
        <f t="shared" si="47"/>
        <v>0</v>
      </c>
      <c r="O62" s="2"/>
    </row>
    <row r="63" ht="22.5" customHeight="1">
      <c r="A63" s="2"/>
      <c r="B63" s="20" t="s">
        <v>45</v>
      </c>
      <c r="C63" s="21">
        <f t="shared" ref="C63:N63" si="48">SUMIF(INDIRECT(C$60&amp;"!J10:J29"),$B63,INDIRECT(C$60&amp;"!L10:L29"))</f>
        <v>0</v>
      </c>
      <c r="D63" s="21">
        <f t="shared" si="48"/>
        <v>0</v>
      </c>
      <c r="E63" s="21">
        <f t="shared" si="48"/>
        <v>0</v>
      </c>
      <c r="F63" s="21">
        <f t="shared" si="48"/>
        <v>0</v>
      </c>
      <c r="G63" s="21">
        <f t="shared" si="48"/>
        <v>0</v>
      </c>
      <c r="H63" s="21">
        <f t="shared" si="48"/>
        <v>0</v>
      </c>
      <c r="I63" s="21">
        <f t="shared" si="48"/>
        <v>0</v>
      </c>
      <c r="J63" s="21">
        <f t="shared" si="48"/>
        <v>0</v>
      </c>
      <c r="K63" s="21">
        <f t="shared" si="48"/>
        <v>0</v>
      </c>
      <c r="L63" s="21">
        <f t="shared" si="48"/>
        <v>0</v>
      </c>
      <c r="M63" s="21">
        <f t="shared" si="48"/>
        <v>0</v>
      </c>
      <c r="N63" s="21">
        <f t="shared" si="48"/>
        <v>0</v>
      </c>
      <c r="O63" s="2"/>
    </row>
    <row r="64" ht="22.5" customHeight="1">
      <c r="A64" s="2"/>
      <c r="B64" s="20" t="s">
        <v>46</v>
      </c>
      <c r="C64" s="21">
        <f t="shared" ref="C64:N64" si="49">SUMIF(INDIRECT(C$60&amp;"!J10:J29"),$B64,INDIRECT(C$60&amp;"!L10:L29"))</f>
        <v>0</v>
      </c>
      <c r="D64" s="21">
        <f t="shared" si="49"/>
        <v>0</v>
      </c>
      <c r="E64" s="21">
        <f t="shared" si="49"/>
        <v>0</v>
      </c>
      <c r="F64" s="21">
        <f t="shared" si="49"/>
        <v>0</v>
      </c>
      <c r="G64" s="21">
        <f t="shared" si="49"/>
        <v>0</v>
      </c>
      <c r="H64" s="21">
        <f t="shared" si="49"/>
        <v>0</v>
      </c>
      <c r="I64" s="21">
        <f t="shared" si="49"/>
        <v>0</v>
      </c>
      <c r="J64" s="21">
        <f t="shared" si="49"/>
        <v>0</v>
      </c>
      <c r="K64" s="21">
        <f t="shared" si="49"/>
        <v>0</v>
      </c>
      <c r="L64" s="21">
        <f t="shared" si="49"/>
        <v>0</v>
      </c>
      <c r="M64" s="21">
        <f t="shared" si="49"/>
        <v>0</v>
      </c>
      <c r="N64" s="21">
        <f t="shared" si="49"/>
        <v>0</v>
      </c>
      <c r="O64" s="2"/>
    </row>
    <row r="65" ht="22.5" customHeight="1">
      <c r="A65" s="2"/>
      <c r="B65" s="20" t="s">
        <v>47</v>
      </c>
      <c r="C65" s="21">
        <f t="shared" ref="C65:N65" si="50">SUMIF(INDIRECT(C$60&amp;"!J10:J29"),$B65,INDIRECT(C$60&amp;"!L10:L29"))</f>
        <v>0</v>
      </c>
      <c r="D65" s="21">
        <f t="shared" si="50"/>
        <v>0</v>
      </c>
      <c r="E65" s="21">
        <f t="shared" si="50"/>
        <v>0</v>
      </c>
      <c r="F65" s="21">
        <f t="shared" si="50"/>
        <v>0</v>
      </c>
      <c r="G65" s="21">
        <f t="shared" si="50"/>
        <v>0</v>
      </c>
      <c r="H65" s="21">
        <f t="shared" si="50"/>
        <v>0</v>
      </c>
      <c r="I65" s="21">
        <f t="shared" si="50"/>
        <v>0</v>
      </c>
      <c r="J65" s="21">
        <f t="shared" si="50"/>
        <v>0</v>
      </c>
      <c r="K65" s="21">
        <f t="shared" si="50"/>
        <v>0</v>
      </c>
      <c r="L65" s="21">
        <f t="shared" si="50"/>
        <v>0</v>
      </c>
      <c r="M65" s="21">
        <f t="shared" si="50"/>
        <v>0</v>
      </c>
      <c r="N65" s="21">
        <f t="shared" si="50"/>
        <v>0</v>
      </c>
      <c r="O65" s="2"/>
    </row>
    <row r="66" ht="22.5" customHeight="1">
      <c r="A66" s="2"/>
      <c r="B66" s="20" t="s">
        <v>48</v>
      </c>
      <c r="C66" s="21">
        <f t="shared" ref="C66:N66" si="51">SUMIF(INDIRECT(C$60&amp;"!J10:J29"),$B66,INDIRECT(C$60&amp;"!L10:L29"))</f>
        <v>0</v>
      </c>
      <c r="D66" s="21">
        <f t="shared" si="51"/>
        <v>0</v>
      </c>
      <c r="E66" s="21">
        <f t="shared" si="51"/>
        <v>0</v>
      </c>
      <c r="F66" s="21">
        <f t="shared" si="51"/>
        <v>0</v>
      </c>
      <c r="G66" s="21">
        <f t="shared" si="51"/>
        <v>0</v>
      </c>
      <c r="H66" s="21">
        <f t="shared" si="51"/>
        <v>0</v>
      </c>
      <c r="I66" s="21">
        <f t="shared" si="51"/>
        <v>0</v>
      </c>
      <c r="J66" s="21">
        <f t="shared" si="51"/>
        <v>0</v>
      </c>
      <c r="K66" s="21">
        <f t="shared" si="51"/>
        <v>0</v>
      </c>
      <c r="L66" s="21">
        <f t="shared" si="51"/>
        <v>0</v>
      </c>
      <c r="M66" s="21">
        <f t="shared" si="51"/>
        <v>0</v>
      </c>
      <c r="N66" s="21">
        <f t="shared" si="51"/>
        <v>0</v>
      </c>
      <c r="O66" s="2"/>
    </row>
    <row r="67" ht="22.5" customHeight="1">
      <c r="A67" s="2"/>
      <c r="B67" s="20" t="s">
        <v>49</v>
      </c>
      <c r="C67" s="21">
        <f t="shared" ref="C67:N67" si="52">SUMIF(INDIRECT(C$60&amp;"!J10:J29"),$B67,INDIRECT(C$60&amp;"!L10:L29"))</f>
        <v>0</v>
      </c>
      <c r="D67" s="21">
        <f t="shared" si="52"/>
        <v>0</v>
      </c>
      <c r="E67" s="21">
        <f t="shared" si="52"/>
        <v>0</v>
      </c>
      <c r="F67" s="21">
        <f t="shared" si="52"/>
        <v>0</v>
      </c>
      <c r="G67" s="21">
        <f t="shared" si="52"/>
        <v>0</v>
      </c>
      <c r="H67" s="21">
        <f t="shared" si="52"/>
        <v>0</v>
      </c>
      <c r="I67" s="21">
        <f t="shared" si="52"/>
        <v>0</v>
      </c>
      <c r="J67" s="21">
        <f t="shared" si="52"/>
        <v>0</v>
      </c>
      <c r="K67" s="21">
        <f t="shared" si="52"/>
        <v>0</v>
      </c>
      <c r="L67" s="21">
        <f t="shared" si="52"/>
        <v>0</v>
      </c>
      <c r="M67" s="21">
        <f t="shared" si="52"/>
        <v>0</v>
      </c>
      <c r="N67" s="21">
        <f t="shared" si="52"/>
        <v>0</v>
      </c>
      <c r="O67" s="2"/>
    </row>
    <row r="68" ht="22.5" customHeight="1">
      <c r="A68" s="2"/>
      <c r="B68" s="20" t="s">
        <v>50</v>
      </c>
      <c r="C68" s="21">
        <f t="shared" ref="C68:N68" si="53">SUMIF(INDIRECT(C$60&amp;"!J10:J29"),$B68,INDIRECT(C$60&amp;"!L10:L29"))</f>
        <v>0</v>
      </c>
      <c r="D68" s="21">
        <f t="shared" si="53"/>
        <v>0</v>
      </c>
      <c r="E68" s="21">
        <f t="shared" si="53"/>
        <v>0</v>
      </c>
      <c r="F68" s="21">
        <f t="shared" si="53"/>
        <v>0</v>
      </c>
      <c r="G68" s="21">
        <f t="shared" si="53"/>
        <v>0</v>
      </c>
      <c r="H68" s="21">
        <f t="shared" si="53"/>
        <v>0</v>
      </c>
      <c r="I68" s="21">
        <f t="shared" si="53"/>
        <v>0</v>
      </c>
      <c r="J68" s="21">
        <f t="shared" si="53"/>
        <v>0</v>
      </c>
      <c r="K68" s="21">
        <f t="shared" si="53"/>
        <v>0</v>
      </c>
      <c r="L68" s="21">
        <f t="shared" si="53"/>
        <v>0</v>
      </c>
      <c r="M68" s="21">
        <f t="shared" si="53"/>
        <v>0</v>
      </c>
      <c r="N68" s="21">
        <f t="shared" si="53"/>
        <v>0</v>
      </c>
      <c r="O68" s="2"/>
    </row>
    <row r="69" ht="22.5" customHeight="1">
      <c r="A69" s="2"/>
      <c r="B69" s="20" t="s">
        <v>51</v>
      </c>
      <c r="C69" s="21">
        <f t="shared" ref="C69:N69" si="54">SUMIF(INDIRECT(C$60&amp;"!J10:J29"),$B69,INDIRECT(C$60&amp;"!L10:L29"))</f>
        <v>0</v>
      </c>
      <c r="D69" s="21">
        <f t="shared" si="54"/>
        <v>0</v>
      </c>
      <c r="E69" s="21">
        <f t="shared" si="54"/>
        <v>0</v>
      </c>
      <c r="F69" s="21">
        <f t="shared" si="54"/>
        <v>0</v>
      </c>
      <c r="G69" s="21">
        <f t="shared" si="54"/>
        <v>0</v>
      </c>
      <c r="H69" s="21">
        <f t="shared" si="54"/>
        <v>0</v>
      </c>
      <c r="I69" s="21">
        <f t="shared" si="54"/>
        <v>0</v>
      </c>
      <c r="J69" s="21">
        <f t="shared" si="54"/>
        <v>0</v>
      </c>
      <c r="K69" s="21">
        <f t="shared" si="54"/>
        <v>0</v>
      </c>
      <c r="L69" s="21">
        <f t="shared" si="54"/>
        <v>0</v>
      </c>
      <c r="M69" s="21">
        <f t="shared" si="54"/>
        <v>0</v>
      </c>
      <c r="N69" s="21">
        <f t="shared" si="54"/>
        <v>0</v>
      </c>
      <c r="O69" s="2"/>
    </row>
    <row r="70" ht="22.5" customHeight="1">
      <c r="A70" s="2"/>
      <c r="B70" s="20" t="s">
        <v>52</v>
      </c>
      <c r="C70" s="21">
        <f t="shared" ref="C70:N70" si="55">SUMIF(INDIRECT(C$60&amp;"!J10:J29"),$B70,INDIRECT(C$60&amp;"!L10:L29"))</f>
        <v>0</v>
      </c>
      <c r="D70" s="21">
        <f t="shared" si="55"/>
        <v>0</v>
      </c>
      <c r="E70" s="21">
        <f t="shared" si="55"/>
        <v>0</v>
      </c>
      <c r="F70" s="21">
        <f t="shared" si="55"/>
        <v>0</v>
      </c>
      <c r="G70" s="21">
        <f t="shared" si="55"/>
        <v>0</v>
      </c>
      <c r="H70" s="21">
        <f t="shared" si="55"/>
        <v>0</v>
      </c>
      <c r="I70" s="21">
        <f t="shared" si="55"/>
        <v>0</v>
      </c>
      <c r="J70" s="21">
        <f t="shared" si="55"/>
        <v>0</v>
      </c>
      <c r="K70" s="21">
        <f t="shared" si="55"/>
        <v>0</v>
      </c>
      <c r="L70" s="21">
        <f t="shared" si="55"/>
        <v>0</v>
      </c>
      <c r="M70" s="21">
        <f t="shared" si="55"/>
        <v>0</v>
      </c>
      <c r="N70" s="21">
        <f t="shared" si="55"/>
        <v>0</v>
      </c>
      <c r="O70" s="2"/>
    </row>
    <row r="71" ht="22.5" customHeight="1">
      <c r="A71" s="2"/>
      <c r="B71" s="20" t="s">
        <v>53</v>
      </c>
      <c r="C71" s="21">
        <f t="shared" ref="C71:N71" si="56">SUMIF(INDIRECT(C$60&amp;"!J10:J29"),$B71,INDIRECT(C$60&amp;"!L10:L29"))</f>
        <v>0</v>
      </c>
      <c r="D71" s="21">
        <f t="shared" si="56"/>
        <v>0</v>
      </c>
      <c r="E71" s="21">
        <f t="shared" si="56"/>
        <v>0</v>
      </c>
      <c r="F71" s="21">
        <f t="shared" si="56"/>
        <v>0</v>
      </c>
      <c r="G71" s="21">
        <f t="shared" si="56"/>
        <v>0</v>
      </c>
      <c r="H71" s="21">
        <f t="shared" si="56"/>
        <v>0</v>
      </c>
      <c r="I71" s="21">
        <f t="shared" si="56"/>
        <v>0</v>
      </c>
      <c r="J71" s="21">
        <f t="shared" si="56"/>
        <v>0</v>
      </c>
      <c r="K71" s="21">
        <f t="shared" si="56"/>
        <v>0</v>
      </c>
      <c r="L71" s="21">
        <f t="shared" si="56"/>
        <v>0</v>
      </c>
      <c r="M71" s="21">
        <f t="shared" si="56"/>
        <v>0</v>
      </c>
      <c r="N71" s="21">
        <f t="shared" si="56"/>
        <v>0</v>
      </c>
      <c r="O71" s="2"/>
    </row>
    <row r="72" ht="22.5" customHeight="1">
      <c r="A72" s="2"/>
      <c r="B72" s="20" t="s">
        <v>54</v>
      </c>
      <c r="C72" s="21">
        <f t="shared" ref="C72:N72" si="57">SUMIF(INDIRECT(C$60&amp;"!J10:J29"),$B72,INDIRECT(C$60&amp;"!L10:L29"))</f>
        <v>0</v>
      </c>
      <c r="D72" s="21">
        <f t="shared" si="57"/>
        <v>0</v>
      </c>
      <c r="E72" s="21">
        <f t="shared" si="57"/>
        <v>0</v>
      </c>
      <c r="F72" s="21">
        <f t="shared" si="57"/>
        <v>0</v>
      </c>
      <c r="G72" s="21">
        <f t="shared" si="57"/>
        <v>0</v>
      </c>
      <c r="H72" s="21">
        <f t="shared" si="57"/>
        <v>0</v>
      </c>
      <c r="I72" s="21">
        <f t="shared" si="57"/>
        <v>0</v>
      </c>
      <c r="J72" s="21">
        <f t="shared" si="57"/>
        <v>0</v>
      </c>
      <c r="K72" s="21">
        <f t="shared" si="57"/>
        <v>0</v>
      </c>
      <c r="L72" s="21">
        <f t="shared" si="57"/>
        <v>0</v>
      </c>
      <c r="M72" s="21">
        <f t="shared" si="57"/>
        <v>0</v>
      </c>
      <c r="N72" s="21">
        <f t="shared" si="57"/>
        <v>0</v>
      </c>
      <c r="O72" s="2"/>
    </row>
    <row r="73" ht="22.5" customHeight="1">
      <c r="A73" s="2"/>
      <c r="B73" s="20"/>
      <c r="C73" s="21">
        <f t="shared" ref="C73:N73" si="58">SUMIF(INDIRECT(C$60&amp;"!J10:J29"),$B73,INDIRECT(C$60&amp;"!L10:L29"))</f>
        <v>0</v>
      </c>
      <c r="D73" s="21">
        <f t="shared" si="58"/>
        <v>0</v>
      </c>
      <c r="E73" s="21">
        <f t="shared" si="58"/>
        <v>0</v>
      </c>
      <c r="F73" s="21">
        <f t="shared" si="58"/>
        <v>0</v>
      </c>
      <c r="G73" s="21">
        <f t="shared" si="58"/>
        <v>0</v>
      </c>
      <c r="H73" s="21">
        <f t="shared" si="58"/>
        <v>0</v>
      </c>
      <c r="I73" s="21">
        <f t="shared" si="58"/>
        <v>0</v>
      </c>
      <c r="J73" s="21">
        <f t="shared" si="58"/>
        <v>0</v>
      </c>
      <c r="K73" s="21">
        <f t="shared" si="58"/>
        <v>0</v>
      </c>
      <c r="L73" s="21">
        <f t="shared" si="58"/>
        <v>0</v>
      </c>
      <c r="M73" s="21">
        <f t="shared" si="58"/>
        <v>0</v>
      </c>
      <c r="N73" s="21">
        <f t="shared" si="58"/>
        <v>0</v>
      </c>
      <c r="O73" s="2"/>
    </row>
    <row r="74" ht="22.5" customHeight="1">
      <c r="A74" s="2"/>
      <c r="B74" s="20"/>
      <c r="C74" s="21">
        <f t="shared" ref="C74:N74" si="59">SUMIF(INDIRECT(C$60&amp;"!J10:J29"),$B74,INDIRECT(C$60&amp;"!L10:L29"))</f>
        <v>0</v>
      </c>
      <c r="D74" s="21">
        <f t="shared" si="59"/>
        <v>0</v>
      </c>
      <c r="E74" s="21">
        <f t="shared" si="59"/>
        <v>0</v>
      </c>
      <c r="F74" s="21">
        <f t="shared" si="59"/>
        <v>0</v>
      </c>
      <c r="G74" s="21">
        <f t="shared" si="59"/>
        <v>0</v>
      </c>
      <c r="H74" s="21">
        <f t="shared" si="59"/>
        <v>0</v>
      </c>
      <c r="I74" s="21">
        <f t="shared" si="59"/>
        <v>0</v>
      </c>
      <c r="J74" s="21">
        <f t="shared" si="59"/>
        <v>0</v>
      </c>
      <c r="K74" s="21">
        <f t="shared" si="59"/>
        <v>0</v>
      </c>
      <c r="L74" s="21">
        <f t="shared" si="59"/>
        <v>0</v>
      </c>
      <c r="M74" s="21">
        <f t="shared" si="59"/>
        <v>0</v>
      </c>
      <c r="N74" s="21">
        <f t="shared" si="59"/>
        <v>0</v>
      </c>
      <c r="O74" s="2"/>
    </row>
    <row r="75" ht="22.5" customHeight="1">
      <c r="A75" s="2"/>
      <c r="B75" s="20"/>
      <c r="C75" s="21">
        <f t="shared" ref="C75:N75" si="60">SUMIF(INDIRECT(C$60&amp;"!J10:J29"),$B75,INDIRECT(C$60&amp;"!L10:L29"))</f>
        <v>0</v>
      </c>
      <c r="D75" s="21">
        <f t="shared" si="60"/>
        <v>0</v>
      </c>
      <c r="E75" s="21">
        <f t="shared" si="60"/>
        <v>0</v>
      </c>
      <c r="F75" s="21">
        <f t="shared" si="60"/>
        <v>0</v>
      </c>
      <c r="G75" s="21">
        <f t="shared" si="60"/>
        <v>0</v>
      </c>
      <c r="H75" s="21">
        <f t="shared" si="60"/>
        <v>0</v>
      </c>
      <c r="I75" s="21">
        <f t="shared" si="60"/>
        <v>0</v>
      </c>
      <c r="J75" s="21">
        <f t="shared" si="60"/>
        <v>0</v>
      </c>
      <c r="K75" s="21">
        <f t="shared" si="60"/>
        <v>0</v>
      </c>
      <c r="L75" s="21">
        <f t="shared" si="60"/>
        <v>0</v>
      </c>
      <c r="M75" s="21">
        <f t="shared" si="60"/>
        <v>0</v>
      </c>
      <c r="N75" s="21">
        <f t="shared" si="60"/>
        <v>0</v>
      </c>
      <c r="O75" s="2"/>
    </row>
    <row r="76" ht="22.5" customHeight="1">
      <c r="A76" s="2"/>
      <c r="B76" s="20"/>
      <c r="C76" s="21">
        <f t="shared" ref="C76:N76" si="61">SUMIF(INDIRECT(C$60&amp;"!J10:J29"),$B76,INDIRECT(C$60&amp;"!L10:L29"))</f>
        <v>0</v>
      </c>
      <c r="D76" s="21">
        <f t="shared" si="61"/>
        <v>0</v>
      </c>
      <c r="E76" s="21">
        <f t="shared" si="61"/>
        <v>0</v>
      </c>
      <c r="F76" s="21">
        <f t="shared" si="61"/>
        <v>0</v>
      </c>
      <c r="G76" s="21">
        <f t="shared" si="61"/>
        <v>0</v>
      </c>
      <c r="H76" s="21">
        <f t="shared" si="61"/>
        <v>0</v>
      </c>
      <c r="I76" s="21">
        <f t="shared" si="61"/>
        <v>0</v>
      </c>
      <c r="J76" s="21">
        <f t="shared" si="61"/>
        <v>0</v>
      </c>
      <c r="K76" s="21">
        <f t="shared" si="61"/>
        <v>0</v>
      </c>
      <c r="L76" s="21">
        <f t="shared" si="61"/>
        <v>0</v>
      </c>
      <c r="M76" s="21">
        <f t="shared" si="61"/>
        <v>0</v>
      </c>
      <c r="N76" s="21">
        <f t="shared" si="61"/>
        <v>0</v>
      </c>
      <c r="O76" s="2"/>
    </row>
    <row r="77" ht="22.5" customHeight="1">
      <c r="A77" s="2"/>
      <c r="B77" s="20"/>
      <c r="C77" s="21">
        <f t="shared" ref="C77:N77" si="62">SUMIF(INDIRECT(C$60&amp;"!J10:J29"),$B77,INDIRECT(C$60&amp;"!L10:L29"))</f>
        <v>0</v>
      </c>
      <c r="D77" s="21">
        <f t="shared" si="62"/>
        <v>0</v>
      </c>
      <c r="E77" s="21">
        <f t="shared" si="62"/>
        <v>0</v>
      </c>
      <c r="F77" s="21">
        <f t="shared" si="62"/>
        <v>0</v>
      </c>
      <c r="G77" s="21">
        <f t="shared" si="62"/>
        <v>0</v>
      </c>
      <c r="H77" s="21">
        <f t="shared" si="62"/>
        <v>0</v>
      </c>
      <c r="I77" s="21">
        <f t="shared" si="62"/>
        <v>0</v>
      </c>
      <c r="J77" s="21">
        <f t="shared" si="62"/>
        <v>0</v>
      </c>
      <c r="K77" s="21">
        <f t="shared" si="62"/>
        <v>0</v>
      </c>
      <c r="L77" s="21">
        <f t="shared" si="62"/>
        <v>0</v>
      </c>
      <c r="M77" s="21">
        <f t="shared" si="62"/>
        <v>0</v>
      </c>
      <c r="N77" s="21">
        <f t="shared" si="62"/>
        <v>0</v>
      </c>
      <c r="O77" s="2"/>
    </row>
    <row r="78" ht="22.5" customHeight="1">
      <c r="A78" s="2"/>
      <c r="B78" s="20"/>
      <c r="C78" s="21">
        <f t="shared" ref="C78:N78" si="63">SUMIF(INDIRECT(C$60&amp;"!J10:J29"),$B78,INDIRECT(C$60&amp;"!L10:L29"))</f>
        <v>0</v>
      </c>
      <c r="D78" s="21">
        <f t="shared" si="63"/>
        <v>0</v>
      </c>
      <c r="E78" s="21">
        <f t="shared" si="63"/>
        <v>0</v>
      </c>
      <c r="F78" s="21">
        <f t="shared" si="63"/>
        <v>0</v>
      </c>
      <c r="G78" s="21">
        <f t="shared" si="63"/>
        <v>0</v>
      </c>
      <c r="H78" s="21">
        <f t="shared" si="63"/>
        <v>0</v>
      </c>
      <c r="I78" s="21">
        <f t="shared" si="63"/>
        <v>0</v>
      </c>
      <c r="J78" s="21">
        <f t="shared" si="63"/>
        <v>0</v>
      </c>
      <c r="K78" s="21">
        <f t="shared" si="63"/>
        <v>0</v>
      </c>
      <c r="L78" s="21">
        <f t="shared" si="63"/>
        <v>0</v>
      </c>
      <c r="M78" s="21">
        <f t="shared" si="63"/>
        <v>0</v>
      </c>
      <c r="N78" s="21">
        <f t="shared" si="63"/>
        <v>0</v>
      </c>
      <c r="O78" s="2"/>
    </row>
    <row r="79" ht="22.5" customHeight="1">
      <c r="A79" s="2"/>
      <c r="B79" s="22"/>
      <c r="C79" s="21">
        <f t="shared" ref="C79:N79" si="64">SUMIF(INDIRECT(C$60&amp;"!J10:J29"),$B79,INDIRECT(C$60&amp;"!L10:L29"))</f>
        <v>0</v>
      </c>
      <c r="D79" s="21">
        <f t="shared" si="64"/>
        <v>0</v>
      </c>
      <c r="E79" s="21">
        <f t="shared" si="64"/>
        <v>0</v>
      </c>
      <c r="F79" s="21">
        <f t="shared" si="64"/>
        <v>0</v>
      </c>
      <c r="G79" s="21">
        <f t="shared" si="64"/>
        <v>0</v>
      </c>
      <c r="H79" s="21">
        <f t="shared" si="64"/>
        <v>0</v>
      </c>
      <c r="I79" s="21">
        <f t="shared" si="64"/>
        <v>0</v>
      </c>
      <c r="J79" s="21">
        <f t="shared" si="64"/>
        <v>0</v>
      </c>
      <c r="K79" s="21">
        <f t="shared" si="64"/>
        <v>0</v>
      </c>
      <c r="L79" s="21">
        <f t="shared" si="64"/>
        <v>0</v>
      </c>
      <c r="M79" s="21">
        <f t="shared" si="64"/>
        <v>0</v>
      </c>
      <c r="N79" s="21">
        <f t="shared" si="64"/>
        <v>0</v>
      </c>
      <c r="O79" s="2"/>
    </row>
    <row r="80" ht="22.5" customHeight="1">
      <c r="A80" s="2"/>
      <c r="B80" s="22"/>
      <c r="C80" s="21">
        <f t="shared" ref="C80:N80" si="65">SUMIF(INDIRECT(C$60&amp;"!J10:J29"),$B80,INDIRECT(C$60&amp;"!L10:L29"))</f>
        <v>0</v>
      </c>
      <c r="D80" s="21">
        <f t="shared" si="65"/>
        <v>0</v>
      </c>
      <c r="E80" s="21">
        <f t="shared" si="65"/>
        <v>0</v>
      </c>
      <c r="F80" s="21">
        <f t="shared" si="65"/>
        <v>0</v>
      </c>
      <c r="G80" s="21">
        <f t="shared" si="65"/>
        <v>0</v>
      </c>
      <c r="H80" s="21">
        <f t="shared" si="65"/>
        <v>0</v>
      </c>
      <c r="I80" s="21">
        <f t="shared" si="65"/>
        <v>0</v>
      </c>
      <c r="J80" s="21">
        <f t="shared" si="65"/>
        <v>0</v>
      </c>
      <c r="K80" s="21">
        <f t="shared" si="65"/>
        <v>0</v>
      </c>
      <c r="L80" s="21">
        <f t="shared" si="65"/>
        <v>0</v>
      </c>
      <c r="M80" s="21">
        <f t="shared" si="65"/>
        <v>0</v>
      </c>
      <c r="N80" s="21">
        <f t="shared" si="65"/>
        <v>0</v>
      </c>
      <c r="O80" s="2"/>
    </row>
    <row r="81" ht="22.5" customHeight="1">
      <c r="A81" s="2"/>
      <c r="B81" s="14" t="s">
        <v>55</v>
      </c>
      <c r="C81" s="15">
        <f t="shared" ref="C81:N81" si="66">SUM(C61:C80)</f>
        <v>0</v>
      </c>
      <c r="D81" s="15">
        <f t="shared" si="66"/>
        <v>0</v>
      </c>
      <c r="E81" s="15">
        <f t="shared" si="66"/>
        <v>0</v>
      </c>
      <c r="F81" s="15">
        <f t="shared" si="66"/>
        <v>0</v>
      </c>
      <c r="G81" s="15">
        <f t="shared" si="66"/>
        <v>0</v>
      </c>
      <c r="H81" s="15">
        <f t="shared" si="66"/>
        <v>0</v>
      </c>
      <c r="I81" s="15">
        <f t="shared" si="66"/>
        <v>0</v>
      </c>
      <c r="J81" s="15">
        <f t="shared" si="66"/>
        <v>0</v>
      </c>
      <c r="K81" s="15">
        <f t="shared" si="66"/>
        <v>0</v>
      </c>
      <c r="L81" s="15">
        <f t="shared" si="66"/>
        <v>0</v>
      </c>
      <c r="M81" s="15">
        <f t="shared" si="66"/>
        <v>0</v>
      </c>
      <c r="N81" s="15">
        <f t="shared" si="66"/>
        <v>0</v>
      </c>
      <c r="O81" s="2"/>
    </row>
    <row r="82">
      <c r="A82" s="2"/>
      <c r="O82" s="2"/>
    </row>
    <row r="83" ht="30.0" customHeight="1">
      <c r="A83" s="16"/>
      <c r="B83" s="17" t="s">
        <v>17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16"/>
    </row>
    <row r="84">
      <c r="A84" s="2"/>
      <c r="B84" s="14" t="s">
        <v>20</v>
      </c>
      <c r="C84" s="10" t="s">
        <v>2</v>
      </c>
      <c r="D84" s="10" t="s">
        <v>3</v>
      </c>
      <c r="E84" s="11" t="s">
        <v>4</v>
      </c>
      <c r="F84" s="11" t="s">
        <v>5</v>
      </c>
      <c r="G84" s="11" t="s">
        <v>6</v>
      </c>
      <c r="H84" s="11" t="s">
        <v>7</v>
      </c>
      <c r="I84" s="11" t="s">
        <v>8</v>
      </c>
      <c r="J84" s="11" t="s">
        <v>9</v>
      </c>
      <c r="K84" s="11" t="s">
        <v>10</v>
      </c>
      <c r="L84" s="11" t="s">
        <v>11</v>
      </c>
      <c r="M84" s="11" t="s">
        <v>12</v>
      </c>
      <c r="N84" s="11" t="s">
        <v>13</v>
      </c>
      <c r="O84" s="2"/>
    </row>
    <row r="85" ht="22.5" customHeight="1">
      <c r="A85" s="2"/>
      <c r="B85" s="20" t="s">
        <v>56</v>
      </c>
      <c r="C85" s="21">
        <f t="shared" ref="C85:N85" si="67">SUMIF(INDIRECT(C$84&amp;"!N10:N29"),$B85,INDIRECT(C$84&amp;"!P10:P29"))</f>
        <v>0</v>
      </c>
      <c r="D85" s="21">
        <f t="shared" si="67"/>
        <v>0</v>
      </c>
      <c r="E85" s="21">
        <f t="shared" si="67"/>
        <v>0</v>
      </c>
      <c r="F85" s="21">
        <f t="shared" si="67"/>
        <v>0</v>
      </c>
      <c r="G85" s="21">
        <f t="shared" si="67"/>
        <v>0</v>
      </c>
      <c r="H85" s="21">
        <f t="shared" si="67"/>
        <v>0</v>
      </c>
      <c r="I85" s="21">
        <f t="shared" si="67"/>
        <v>0</v>
      </c>
      <c r="J85" s="21">
        <f t="shared" si="67"/>
        <v>900</v>
      </c>
      <c r="K85" s="21">
        <f t="shared" si="67"/>
        <v>0</v>
      </c>
      <c r="L85" s="21">
        <f t="shared" si="67"/>
        <v>0</v>
      </c>
      <c r="M85" s="21">
        <f t="shared" si="67"/>
        <v>0</v>
      </c>
      <c r="N85" s="21">
        <f t="shared" si="67"/>
        <v>0</v>
      </c>
      <c r="O85" s="2"/>
    </row>
    <row r="86" ht="22.5" customHeight="1">
      <c r="A86" s="2"/>
      <c r="B86" s="20" t="s">
        <v>57</v>
      </c>
      <c r="C86" s="21">
        <f t="shared" ref="C86:N86" si="68">SUMIF(INDIRECT(C$84&amp;"!N10:N29"),$B86,INDIRECT(C$84&amp;"!P10:P29"))</f>
        <v>0</v>
      </c>
      <c r="D86" s="21">
        <f t="shared" si="68"/>
        <v>0</v>
      </c>
      <c r="E86" s="21">
        <f t="shared" si="68"/>
        <v>0</v>
      </c>
      <c r="F86" s="21">
        <f t="shared" si="68"/>
        <v>0</v>
      </c>
      <c r="G86" s="21">
        <f t="shared" si="68"/>
        <v>0</v>
      </c>
      <c r="H86" s="21">
        <f t="shared" si="68"/>
        <v>0</v>
      </c>
      <c r="I86" s="21">
        <f t="shared" si="68"/>
        <v>0</v>
      </c>
      <c r="J86" s="21">
        <f t="shared" si="68"/>
        <v>400</v>
      </c>
      <c r="K86" s="21">
        <f t="shared" si="68"/>
        <v>0</v>
      </c>
      <c r="L86" s="21">
        <f t="shared" si="68"/>
        <v>0</v>
      </c>
      <c r="M86" s="21">
        <f t="shared" si="68"/>
        <v>0</v>
      </c>
      <c r="N86" s="21">
        <f t="shared" si="68"/>
        <v>0</v>
      </c>
      <c r="O86" s="2"/>
    </row>
    <row r="87" ht="22.5" customHeight="1">
      <c r="A87" s="2"/>
      <c r="B87" s="20" t="s">
        <v>58</v>
      </c>
      <c r="C87" s="21">
        <f t="shared" ref="C87:N87" si="69">SUMIF(INDIRECT(C$84&amp;"!N10:N29"),$B87,INDIRECT(C$84&amp;"!P10:P29"))</f>
        <v>0</v>
      </c>
      <c r="D87" s="21">
        <f t="shared" si="69"/>
        <v>0</v>
      </c>
      <c r="E87" s="21">
        <f t="shared" si="69"/>
        <v>0</v>
      </c>
      <c r="F87" s="21">
        <f t="shared" si="69"/>
        <v>0</v>
      </c>
      <c r="G87" s="21">
        <f t="shared" si="69"/>
        <v>0</v>
      </c>
      <c r="H87" s="21">
        <f t="shared" si="69"/>
        <v>0</v>
      </c>
      <c r="I87" s="21">
        <f t="shared" si="69"/>
        <v>0</v>
      </c>
      <c r="J87" s="21">
        <f t="shared" si="69"/>
        <v>400</v>
      </c>
      <c r="K87" s="21">
        <f t="shared" si="69"/>
        <v>0</v>
      </c>
      <c r="L87" s="21">
        <f t="shared" si="69"/>
        <v>0</v>
      </c>
      <c r="M87" s="21">
        <f t="shared" si="69"/>
        <v>0</v>
      </c>
      <c r="N87" s="21">
        <f t="shared" si="69"/>
        <v>0</v>
      </c>
      <c r="O87" s="2"/>
    </row>
    <row r="88" ht="22.5" customHeight="1">
      <c r="A88" s="2"/>
      <c r="B88" s="20"/>
      <c r="C88" s="21">
        <f t="shared" ref="C88:N88" si="70">SUMIF(INDIRECT(C$84&amp;"!N10:N29"),$B88,INDIRECT(C$84&amp;"!P10:P29"))</f>
        <v>0</v>
      </c>
      <c r="D88" s="21">
        <f t="shared" si="70"/>
        <v>0</v>
      </c>
      <c r="E88" s="21">
        <f t="shared" si="70"/>
        <v>0</v>
      </c>
      <c r="F88" s="21">
        <f t="shared" si="70"/>
        <v>0</v>
      </c>
      <c r="G88" s="21">
        <f t="shared" si="70"/>
        <v>0</v>
      </c>
      <c r="H88" s="21">
        <f t="shared" si="70"/>
        <v>0</v>
      </c>
      <c r="I88" s="21">
        <f t="shared" si="70"/>
        <v>0</v>
      </c>
      <c r="J88" s="21">
        <f t="shared" si="70"/>
        <v>0</v>
      </c>
      <c r="K88" s="21">
        <f t="shared" si="70"/>
        <v>0</v>
      </c>
      <c r="L88" s="21">
        <f t="shared" si="70"/>
        <v>0</v>
      </c>
      <c r="M88" s="21">
        <f t="shared" si="70"/>
        <v>0</v>
      </c>
      <c r="N88" s="21">
        <f t="shared" si="70"/>
        <v>0</v>
      </c>
      <c r="O88" s="2"/>
    </row>
    <row r="89" ht="22.5" customHeight="1">
      <c r="A89" s="2"/>
      <c r="B89" s="20"/>
      <c r="C89" s="21">
        <f t="shared" ref="C89:N89" si="71">SUMIF(INDIRECT(C$84&amp;"!N10:N29"),$B89,INDIRECT(C$84&amp;"!P10:P29"))</f>
        <v>0</v>
      </c>
      <c r="D89" s="21">
        <f t="shared" si="71"/>
        <v>0</v>
      </c>
      <c r="E89" s="21">
        <f t="shared" si="71"/>
        <v>0</v>
      </c>
      <c r="F89" s="21">
        <f t="shared" si="71"/>
        <v>0</v>
      </c>
      <c r="G89" s="21">
        <f t="shared" si="71"/>
        <v>0</v>
      </c>
      <c r="H89" s="21">
        <f t="shared" si="71"/>
        <v>0</v>
      </c>
      <c r="I89" s="21">
        <f t="shared" si="71"/>
        <v>0</v>
      </c>
      <c r="J89" s="21">
        <f t="shared" si="71"/>
        <v>0</v>
      </c>
      <c r="K89" s="21">
        <f t="shared" si="71"/>
        <v>0</v>
      </c>
      <c r="L89" s="21">
        <f t="shared" si="71"/>
        <v>0</v>
      </c>
      <c r="M89" s="21">
        <f t="shared" si="71"/>
        <v>0</v>
      </c>
      <c r="N89" s="21">
        <f t="shared" si="71"/>
        <v>0</v>
      </c>
      <c r="O89" s="2"/>
    </row>
    <row r="90" ht="22.5" customHeight="1">
      <c r="A90" s="2"/>
      <c r="B90" s="20"/>
      <c r="C90" s="21">
        <f t="shared" ref="C90:N90" si="72">SUMIF(INDIRECT(C$84&amp;"!N10:N29"),$B90,INDIRECT(C$84&amp;"!P10:P29"))</f>
        <v>0</v>
      </c>
      <c r="D90" s="21">
        <f t="shared" si="72"/>
        <v>0</v>
      </c>
      <c r="E90" s="21">
        <f t="shared" si="72"/>
        <v>0</v>
      </c>
      <c r="F90" s="21">
        <f t="shared" si="72"/>
        <v>0</v>
      </c>
      <c r="G90" s="21">
        <f t="shared" si="72"/>
        <v>0</v>
      </c>
      <c r="H90" s="21">
        <f t="shared" si="72"/>
        <v>0</v>
      </c>
      <c r="I90" s="21">
        <f t="shared" si="72"/>
        <v>0</v>
      </c>
      <c r="J90" s="21">
        <f t="shared" si="72"/>
        <v>0</v>
      </c>
      <c r="K90" s="21">
        <f t="shared" si="72"/>
        <v>0</v>
      </c>
      <c r="L90" s="21">
        <f t="shared" si="72"/>
        <v>0</v>
      </c>
      <c r="M90" s="21">
        <f t="shared" si="72"/>
        <v>0</v>
      </c>
      <c r="N90" s="21">
        <f t="shared" si="72"/>
        <v>0</v>
      </c>
      <c r="O90" s="2"/>
    </row>
    <row r="91" ht="22.5" customHeight="1">
      <c r="A91" s="2"/>
      <c r="B91" s="20"/>
      <c r="C91" s="21">
        <f t="shared" ref="C91:N91" si="73">SUMIF(INDIRECT(C$84&amp;"!N10:N29"),$B91,INDIRECT(C$84&amp;"!P10:P29"))</f>
        <v>0</v>
      </c>
      <c r="D91" s="21">
        <f t="shared" si="73"/>
        <v>0</v>
      </c>
      <c r="E91" s="21">
        <f t="shared" si="73"/>
        <v>0</v>
      </c>
      <c r="F91" s="21">
        <f t="shared" si="73"/>
        <v>0</v>
      </c>
      <c r="G91" s="21">
        <f t="shared" si="73"/>
        <v>0</v>
      </c>
      <c r="H91" s="21">
        <f t="shared" si="73"/>
        <v>0</v>
      </c>
      <c r="I91" s="21">
        <f t="shared" si="73"/>
        <v>0</v>
      </c>
      <c r="J91" s="21">
        <f t="shared" si="73"/>
        <v>0</v>
      </c>
      <c r="K91" s="21">
        <f t="shared" si="73"/>
        <v>0</v>
      </c>
      <c r="L91" s="21">
        <f t="shared" si="73"/>
        <v>0</v>
      </c>
      <c r="M91" s="21">
        <f t="shared" si="73"/>
        <v>0</v>
      </c>
      <c r="N91" s="21">
        <f t="shared" si="73"/>
        <v>0</v>
      </c>
      <c r="O91" s="2"/>
    </row>
    <row r="92" ht="22.5" customHeight="1">
      <c r="A92" s="2"/>
      <c r="B92" s="20"/>
      <c r="C92" s="21">
        <f t="shared" ref="C92:N92" si="74">SUMIF(INDIRECT(C$84&amp;"!N10:N29"),$B92,INDIRECT(C$84&amp;"!P10:P29"))</f>
        <v>0</v>
      </c>
      <c r="D92" s="21">
        <f t="shared" si="74"/>
        <v>0</v>
      </c>
      <c r="E92" s="21">
        <f t="shared" si="74"/>
        <v>0</v>
      </c>
      <c r="F92" s="21">
        <f t="shared" si="74"/>
        <v>0</v>
      </c>
      <c r="G92" s="21">
        <f t="shared" si="74"/>
        <v>0</v>
      </c>
      <c r="H92" s="21">
        <f t="shared" si="74"/>
        <v>0</v>
      </c>
      <c r="I92" s="21">
        <f t="shared" si="74"/>
        <v>0</v>
      </c>
      <c r="J92" s="21">
        <f t="shared" si="74"/>
        <v>0</v>
      </c>
      <c r="K92" s="21">
        <f t="shared" si="74"/>
        <v>0</v>
      </c>
      <c r="L92" s="21">
        <f t="shared" si="74"/>
        <v>0</v>
      </c>
      <c r="M92" s="21">
        <f t="shared" si="74"/>
        <v>0</v>
      </c>
      <c r="N92" s="21">
        <f t="shared" si="74"/>
        <v>0</v>
      </c>
      <c r="O92" s="2"/>
    </row>
    <row r="93" ht="22.5" customHeight="1">
      <c r="A93" s="2"/>
      <c r="B93" s="20"/>
      <c r="C93" s="21">
        <f t="shared" ref="C93:N93" si="75">SUMIF(INDIRECT(C$84&amp;"!N10:N29"),$B93,INDIRECT(C$84&amp;"!P10:P29"))</f>
        <v>0</v>
      </c>
      <c r="D93" s="21">
        <f t="shared" si="75"/>
        <v>0</v>
      </c>
      <c r="E93" s="21">
        <f t="shared" si="75"/>
        <v>0</v>
      </c>
      <c r="F93" s="21">
        <f t="shared" si="75"/>
        <v>0</v>
      </c>
      <c r="G93" s="21">
        <f t="shared" si="75"/>
        <v>0</v>
      </c>
      <c r="H93" s="21">
        <f t="shared" si="75"/>
        <v>0</v>
      </c>
      <c r="I93" s="21">
        <f t="shared" si="75"/>
        <v>0</v>
      </c>
      <c r="J93" s="21">
        <f t="shared" si="75"/>
        <v>0</v>
      </c>
      <c r="K93" s="21">
        <f t="shared" si="75"/>
        <v>0</v>
      </c>
      <c r="L93" s="21">
        <f t="shared" si="75"/>
        <v>0</v>
      </c>
      <c r="M93" s="21">
        <f t="shared" si="75"/>
        <v>0</v>
      </c>
      <c r="N93" s="21">
        <f t="shared" si="75"/>
        <v>0</v>
      </c>
      <c r="O93" s="2"/>
    </row>
    <row r="94" ht="22.5" customHeight="1">
      <c r="A94" s="2"/>
      <c r="B94" s="20"/>
      <c r="C94" s="21">
        <f t="shared" ref="C94:N94" si="76">SUMIF(INDIRECT(C$84&amp;"!N10:N29"),$B94,INDIRECT(C$84&amp;"!P10:P29"))</f>
        <v>0</v>
      </c>
      <c r="D94" s="21">
        <f t="shared" si="76"/>
        <v>0</v>
      </c>
      <c r="E94" s="21">
        <f t="shared" si="76"/>
        <v>0</v>
      </c>
      <c r="F94" s="21">
        <f t="shared" si="76"/>
        <v>0</v>
      </c>
      <c r="G94" s="21">
        <f t="shared" si="76"/>
        <v>0</v>
      </c>
      <c r="H94" s="21">
        <f t="shared" si="76"/>
        <v>0</v>
      </c>
      <c r="I94" s="21">
        <f t="shared" si="76"/>
        <v>0</v>
      </c>
      <c r="J94" s="21">
        <f t="shared" si="76"/>
        <v>0</v>
      </c>
      <c r="K94" s="21">
        <f t="shared" si="76"/>
        <v>0</v>
      </c>
      <c r="L94" s="21">
        <f t="shared" si="76"/>
        <v>0</v>
      </c>
      <c r="M94" s="21">
        <f t="shared" si="76"/>
        <v>0</v>
      </c>
      <c r="N94" s="21">
        <f t="shared" si="76"/>
        <v>0</v>
      </c>
      <c r="O94" s="2"/>
    </row>
    <row r="95" ht="22.5" customHeight="1">
      <c r="A95" s="2"/>
      <c r="B95" s="20"/>
      <c r="C95" s="21">
        <f t="shared" ref="C95:N95" si="77">SUMIF(INDIRECT(C$84&amp;"!N10:N29"),$B95,INDIRECT(C$84&amp;"!P10:P29"))</f>
        <v>0</v>
      </c>
      <c r="D95" s="21">
        <f t="shared" si="77"/>
        <v>0</v>
      </c>
      <c r="E95" s="21">
        <f t="shared" si="77"/>
        <v>0</v>
      </c>
      <c r="F95" s="21">
        <f t="shared" si="77"/>
        <v>0</v>
      </c>
      <c r="G95" s="21">
        <f t="shared" si="77"/>
        <v>0</v>
      </c>
      <c r="H95" s="21">
        <f t="shared" si="77"/>
        <v>0</v>
      </c>
      <c r="I95" s="21">
        <f t="shared" si="77"/>
        <v>0</v>
      </c>
      <c r="J95" s="21">
        <f t="shared" si="77"/>
        <v>0</v>
      </c>
      <c r="K95" s="21">
        <f t="shared" si="77"/>
        <v>0</v>
      </c>
      <c r="L95" s="21">
        <f t="shared" si="77"/>
        <v>0</v>
      </c>
      <c r="M95" s="21">
        <f t="shared" si="77"/>
        <v>0</v>
      </c>
      <c r="N95" s="21">
        <f t="shared" si="77"/>
        <v>0</v>
      </c>
      <c r="O95" s="2"/>
    </row>
    <row r="96" ht="22.5" customHeight="1">
      <c r="A96" s="2"/>
      <c r="B96" s="20"/>
      <c r="C96" s="21">
        <f t="shared" ref="C96:N96" si="78">SUMIF(INDIRECT(C$84&amp;"!N10:N29"),$B96,INDIRECT(C$84&amp;"!P10:P29"))</f>
        <v>0</v>
      </c>
      <c r="D96" s="21">
        <f t="shared" si="78"/>
        <v>0</v>
      </c>
      <c r="E96" s="21">
        <f t="shared" si="78"/>
        <v>0</v>
      </c>
      <c r="F96" s="21">
        <f t="shared" si="78"/>
        <v>0</v>
      </c>
      <c r="G96" s="21">
        <f t="shared" si="78"/>
        <v>0</v>
      </c>
      <c r="H96" s="21">
        <f t="shared" si="78"/>
        <v>0</v>
      </c>
      <c r="I96" s="21">
        <f t="shared" si="78"/>
        <v>0</v>
      </c>
      <c r="J96" s="21">
        <f t="shared" si="78"/>
        <v>0</v>
      </c>
      <c r="K96" s="21">
        <f t="shared" si="78"/>
        <v>0</v>
      </c>
      <c r="L96" s="21">
        <f t="shared" si="78"/>
        <v>0</v>
      </c>
      <c r="M96" s="21">
        <f t="shared" si="78"/>
        <v>0</v>
      </c>
      <c r="N96" s="21">
        <f t="shared" si="78"/>
        <v>0</v>
      </c>
      <c r="O96" s="2"/>
    </row>
    <row r="97" ht="22.5" customHeight="1">
      <c r="A97" s="2"/>
      <c r="B97" s="20"/>
      <c r="C97" s="21">
        <f t="shared" ref="C97:N97" si="79">SUMIF(INDIRECT(C$84&amp;"!N10:N29"),$B97,INDIRECT(C$84&amp;"!P10:P29"))</f>
        <v>0</v>
      </c>
      <c r="D97" s="21">
        <f t="shared" si="79"/>
        <v>0</v>
      </c>
      <c r="E97" s="21">
        <f t="shared" si="79"/>
        <v>0</v>
      </c>
      <c r="F97" s="21">
        <f t="shared" si="79"/>
        <v>0</v>
      </c>
      <c r="G97" s="21">
        <f t="shared" si="79"/>
        <v>0</v>
      </c>
      <c r="H97" s="21">
        <f t="shared" si="79"/>
        <v>0</v>
      </c>
      <c r="I97" s="21">
        <f t="shared" si="79"/>
        <v>0</v>
      </c>
      <c r="J97" s="21">
        <f t="shared" si="79"/>
        <v>0</v>
      </c>
      <c r="K97" s="21">
        <f t="shared" si="79"/>
        <v>0</v>
      </c>
      <c r="L97" s="21">
        <f t="shared" si="79"/>
        <v>0</v>
      </c>
      <c r="M97" s="21">
        <f t="shared" si="79"/>
        <v>0</v>
      </c>
      <c r="N97" s="21">
        <f t="shared" si="79"/>
        <v>0</v>
      </c>
      <c r="O97" s="2"/>
    </row>
    <row r="98" ht="22.5" customHeight="1">
      <c r="A98" s="2"/>
      <c r="B98" s="20"/>
      <c r="C98" s="21">
        <f t="shared" ref="C98:N98" si="80">SUMIF(INDIRECT(C$84&amp;"!N10:N29"),$B98,INDIRECT(C$84&amp;"!P10:P29"))</f>
        <v>0</v>
      </c>
      <c r="D98" s="21">
        <f t="shared" si="80"/>
        <v>0</v>
      </c>
      <c r="E98" s="21">
        <f t="shared" si="80"/>
        <v>0</v>
      </c>
      <c r="F98" s="21">
        <f t="shared" si="80"/>
        <v>0</v>
      </c>
      <c r="G98" s="21">
        <f t="shared" si="80"/>
        <v>0</v>
      </c>
      <c r="H98" s="21">
        <f t="shared" si="80"/>
        <v>0</v>
      </c>
      <c r="I98" s="21">
        <f t="shared" si="80"/>
        <v>0</v>
      </c>
      <c r="J98" s="21">
        <f t="shared" si="80"/>
        <v>0</v>
      </c>
      <c r="K98" s="21">
        <f t="shared" si="80"/>
        <v>0</v>
      </c>
      <c r="L98" s="21">
        <f t="shared" si="80"/>
        <v>0</v>
      </c>
      <c r="M98" s="21">
        <f t="shared" si="80"/>
        <v>0</v>
      </c>
      <c r="N98" s="21">
        <f t="shared" si="80"/>
        <v>0</v>
      </c>
      <c r="O98" s="2"/>
    </row>
    <row r="99" ht="22.5" customHeight="1">
      <c r="A99" s="2"/>
      <c r="B99" s="20"/>
      <c r="C99" s="21">
        <f t="shared" ref="C99:N99" si="81">SUMIF(INDIRECT(C$84&amp;"!N10:N29"),$B99,INDIRECT(C$84&amp;"!P10:P29"))</f>
        <v>0</v>
      </c>
      <c r="D99" s="21">
        <f t="shared" si="81"/>
        <v>0</v>
      </c>
      <c r="E99" s="21">
        <f t="shared" si="81"/>
        <v>0</v>
      </c>
      <c r="F99" s="21">
        <f t="shared" si="81"/>
        <v>0</v>
      </c>
      <c r="G99" s="21">
        <f t="shared" si="81"/>
        <v>0</v>
      </c>
      <c r="H99" s="21">
        <f t="shared" si="81"/>
        <v>0</v>
      </c>
      <c r="I99" s="21">
        <f t="shared" si="81"/>
        <v>0</v>
      </c>
      <c r="J99" s="21">
        <f t="shared" si="81"/>
        <v>0</v>
      </c>
      <c r="K99" s="21">
        <f t="shared" si="81"/>
        <v>0</v>
      </c>
      <c r="L99" s="21">
        <f t="shared" si="81"/>
        <v>0</v>
      </c>
      <c r="M99" s="21">
        <f t="shared" si="81"/>
        <v>0</v>
      </c>
      <c r="N99" s="21">
        <f t="shared" si="81"/>
        <v>0</v>
      </c>
      <c r="O99" s="2"/>
    </row>
    <row r="100" ht="22.5" customHeight="1">
      <c r="A100" s="2"/>
      <c r="B100" s="20"/>
      <c r="C100" s="21">
        <f t="shared" ref="C100:N100" si="82">SUMIF(INDIRECT(C$84&amp;"!N10:N29"),$B100,INDIRECT(C$84&amp;"!P10:P29"))</f>
        <v>0</v>
      </c>
      <c r="D100" s="21">
        <f t="shared" si="82"/>
        <v>0</v>
      </c>
      <c r="E100" s="21">
        <f t="shared" si="82"/>
        <v>0</v>
      </c>
      <c r="F100" s="21">
        <f t="shared" si="82"/>
        <v>0</v>
      </c>
      <c r="G100" s="21">
        <f t="shared" si="82"/>
        <v>0</v>
      </c>
      <c r="H100" s="21">
        <f t="shared" si="82"/>
        <v>0</v>
      </c>
      <c r="I100" s="21">
        <f t="shared" si="82"/>
        <v>0</v>
      </c>
      <c r="J100" s="21">
        <f t="shared" si="82"/>
        <v>0</v>
      </c>
      <c r="K100" s="21">
        <f t="shared" si="82"/>
        <v>0</v>
      </c>
      <c r="L100" s="21">
        <f t="shared" si="82"/>
        <v>0</v>
      </c>
      <c r="M100" s="21">
        <f t="shared" si="82"/>
        <v>0</v>
      </c>
      <c r="N100" s="21">
        <f t="shared" si="82"/>
        <v>0</v>
      </c>
      <c r="O100" s="2"/>
    </row>
    <row r="101" ht="22.5" customHeight="1">
      <c r="A101" s="2"/>
      <c r="B101" s="20"/>
      <c r="C101" s="21">
        <f t="shared" ref="C101:N101" si="83">SUMIF(INDIRECT(C$84&amp;"!N10:N29"),$B101,INDIRECT(C$84&amp;"!P10:P29"))</f>
        <v>0</v>
      </c>
      <c r="D101" s="21">
        <f t="shared" si="83"/>
        <v>0</v>
      </c>
      <c r="E101" s="21">
        <f t="shared" si="83"/>
        <v>0</v>
      </c>
      <c r="F101" s="21">
        <f t="shared" si="83"/>
        <v>0</v>
      </c>
      <c r="G101" s="21">
        <f t="shared" si="83"/>
        <v>0</v>
      </c>
      <c r="H101" s="21">
        <f t="shared" si="83"/>
        <v>0</v>
      </c>
      <c r="I101" s="21">
        <f t="shared" si="83"/>
        <v>0</v>
      </c>
      <c r="J101" s="21">
        <f t="shared" si="83"/>
        <v>0</v>
      </c>
      <c r="K101" s="21">
        <f t="shared" si="83"/>
        <v>0</v>
      </c>
      <c r="L101" s="21">
        <f t="shared" si="83"/>
        <v>0</v>
      </c>
      <c r="M101" s="21">
        <f t="shared" si="83"/>
        <v>0</v>
      </c>
      <c r="N101" s="21">
        <f t="shared" si="83"/>
        <v>0</v>
      </c>
      <c r="O101" s="2"/>
    </row>
    <row r="102" ht="22.5" customHeight="1">
      <c r="A102" s="2"/>
      <c r="B102" s="20"/>
      <c r="C102" s="21">
        <f t="shared" ref="C102:N102" si="84">SUMIF(INDIRECT(C$84&amp;"!N10:N29"),$B102,INDIRECT(C$84&amp;"!P10:P29"))</f>
        <v>0</v>
      </c>
      <c r="D102" s="21">
        <f t="shared" si="84"/>
        <v>0</v>
      </c>
      <c r="E102" s="21">
        <f t="shared" si="84"/>
        <v>0</v>
      </c>
      <c r="F102" s="21">
        <f t="shared" si="84"/>
        <v>0</v>
      </c>
      <c r="G102" s="21">
        <f t="shared" si="84"/>
        <v>0</v>
      </c>
      <c r="H102" s="21">
        <f t="shared" si="84"/>
        <v>0</v>
      </c>
      <c r="I102" s="21">
        <f t="shared" si="84"/>
        <v>0</v>
      </c>
      <c r="J102" s="21">
        <f t="shared" si="84"/>
        <v>0</v>
      </c>
      <c r="K102" s="21">
        <f t="shared" si="84"/>
        <v>0</v>
      </c>
      <c r="L102" s="21">
        <f t="shared" si="84"/>
        <v>0</v>
      </c>
      <c r="M102" s="21">
        <f t="shared" si="84"/>
        <v>0</v>
      </c>
      <c r="N102" s="21">
        <f t="shared" si="84"/>
        <v>0</v>
      </c>
      <c r="O102" s="2"/>
    </row>
    <row r="103" ht="22.5" customHeight="1">
      <c r="A103" s="2"/>
      <c r="B103" s="20"/>
      <c r="C103" s="21">
        <f t="shared" ref="C103:N103" si="85">SUMIF(INDIRECT(C$84&amp;"!N10:N29"),$B103,INDIRECT(C$84&amp;"!P10:P29"))</f>
        <v>0</v>
      </c>
      <c r="D103" s="21">
        <f t="shared" si="85"/>
        <v>0</v>
      </c>
      <c r="E103" s="21">
        <f t="shared" si="85"/>
        <v>0</v>
      </c>
      <c r="F103" s="21">
        <f t="shared" si="85"/>
        <v>0</v>
      </c>
      <c r="G103" s="21">
        <f t="shared" si="85"/>
        <v>0</v>
      </c>
      <c r="H103" s="21">
        <f t="shared" si="85"/>
        <v>0</v>
      </c>
      <c r="I103" s="21">
        <f t="shared" si="85"/>
        <v>0</v>
      </c>
      <c r="J103" s="21">
        <f t="shared" si="85"/>
        <v>0</v>
      </c>
      <c r="K103" s="21">
        <f t="shared" si="85"/>
        <v>0</v>
      </c>
      <c r="L103" s="21">
        <f t="shared" si="85"/>
        <v>0</v>
      </c>
      <c r="M103" s="21">
        <f t="shared" si="85"/>
        <v>0</v>
      </c>
      <c r="N103" s="21">
        <f t="shared" si="85"/>
        <v>0</v>
      </c>
      <c r="O103" s="2"/>
    </row>
    <row r="104" ht="22.5" customHeight="1">
      <c r="A104" s="2"/>
      <c r="B104" s="20"/>
      <c r="C104" s="21">
        <f t="shared" ref="C104:N104" si="86">SUMIF(INDIRECT(C$84&amp;"!N10:N29"),$B104,INDIRECT(C$84&amp;"!P10:P29"))</f>
        <v>0</v>
      </c>
      <c r="D104" s="21">
        <f t="shared" si="86"/>
        <v>0</v>
      </c>
      <c r="E104" s="21">
        <f t="shared" si="86"/>
        <v>0</v>
      </c>
      <c r="F104" s="21">
        <f t="shared" si="86"/>
        <v>0</v>
      </c>
      <c r="G104" s="21">
        <f t="shared" si="86"/>
        <v>0</v>
      </c>
      <c r="H104" s="21">
        <f t="shared" si="86"/>
        <v>0</v>
      </c>
      <c r="I104" s="21">
        <f t="shared" si="86"/>
        <v>0</v>
      </c>
      <c r="J104" s="21">
        <f t="shared" si="86"/>
        <v>0</v>
      </c>
      <c r="K104" s="21">
        <f t="shared" si="86"/>
        <v>0</v>
      </c>
      <c r="L104" s="21">
        <f t="shared" si="86"/>
        <v>0</v>
      </c>
      <c r="M104" s="21">
        <f t="shared" si="86"/>
        <v>0</v>
      </c>
      <c r="N104" s="21">
        <f t="shared" si="86"/>
        <v>0</v>
      </c>
      <c r="O104" s="2"/>
    </row>
    <row r="105" ht="22.5" customHeight="1">
      <c r="A105" s="2"/>
      <c r="B105" s="14" t="s">
        <v>55</v>
      </c>
      <c r="C105" s="15">
        <f t="shared" ref="C105:N105" si="87">SUM(C85:C104)</f>
        <v>0</v>
      </c>
      <c r="D105" s="15">
        <f t="shared" si="87"/>
        <v>0</v>
      </c>
      <c r="E105" s="15">
        <f t="shared" si="87"/>
        <v>0</v>
      </c>
      <c r="F105" s="15">
        <f t="shared" si="87"/>
        <v>0</v>
      </c>
      <c r="G105" s="15">
        <f t="shared" si="87"/>
        <v>0</v>
      </c>
      <c r="H105" s="15">
        <f t="shared" si="87"/>
        <v>0</v>
      </c>
      <c r="I105" s="15">
        <f t="shared" si="87"/>
        <v>0</v>
      </c>
      <c r="J105" s="15">
        <f t="shared" si="87"/>
        <v>1700</v>
      </c>
      <c r="K105" s="15">
        <f t="shared" si="87"/>
        <v>0</v>
      </c>
      <c r="L105" s="15">
        <f t="shared" si="87"/>
        <v>0</v>
      </c>
      <c r="M105" s="15">
        <f t="shared" si="87"/>
        <v>0</v>
      </c>
      <c r="N105" s="15">
        <f t="shared" si="87"/>
        <v>0</v>
      </c>
      <c r="O105" s="2"/>
    </row>
    <row r="106">
      <c r="A106" s="2"/>
      <c r="O106" s="2"/>
    </row>
  </sheetData>
  <mergeCells count="6">
    <mergeCell ref="B2:N2"/>
    <mergeCell ref="B11:N11"/>
    <mergeCell ref="B23:N23"/>
    <mergeCell ref="B35:N35"/>
    <mergeCell ref="B59:N59"/>
    <mergeCell ref="B83:N8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23" t="s">
        <v>59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19000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3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71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19000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3">
        <v>30.0</v>
      </c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72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-15900</v>
      </c>
      <c r="G3" s="28"/>
      <c r="H3" s="29"/>
      <c r="I3" s="2"/>
      <c r="J3" s="30">
        <f>D30+H30+L30+P30</f>
        <v>34900</v>
      </c>
      <c r="K3" s="28"/>
      <c r="L3" s="29"/>
      <c r="M3" s="2"/>
      <c r="N3" s="30">
        <f>D18-C30-G30-K30-O30</f>
        <v>-3500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44" t="s">
        <v>73</v>
      </c>
      <c r="C22" s="45">
        <v>15000.0</v>
      </c>
      <c r="D22" s="46">
        <v>15000.0</v>
      </c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44" t="s">
        <v>74</v>
      </c>
      <c r="C23" s="45">
        <v>7500.0</v>
      </c>
      <c r="D23" s="46">
        <v>19900.0</v>
      </c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/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/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/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22500</v>
      </c>
      <c r="D30" s="42">
        <f t="shared" si="1"/>
        <v>34900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75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16000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44" t="s">
        <v>76</v>
      </c>
      <c r="C10" s="37">
        <f>IF(ROW()=9, DATE(2025, 4, 1), DATE(2025, 4, 1))</f>
        <v>45748</v>
      </c>
      <c r="D10" s="46">
        <v>14000.0</v>
      </c>
      <c r="E10" s="2"/>
      <c r="F10" s="36" t="s">
        <v>34</v>
      </c>
      <c r="G10" s="39"/>
      <c r="H10" s="38"/>
      <c r="I10" s="2"/>
      <c r="J10" s="44" t="s">
        <v>77</v>
      </c>
      <c r="K10" s="39"/>
      <c r="L10" s="38"/>
      <c r="M10" s="2"/>
      <c r="N10" s="44" t="s">
        <v>78</v>
      </c>
      <c r="O10" s="45">
        <v>3000.0</v>
      </c>
      <c r="P10" s="38"/>
      <c r="Q10" s="2"/>
    </row>
    <row r="11" ht="22.5" customHeight="1">
      <c r="A11" s="2"/>
      <c r="B11" s="44" t="s">
        <v>79</v>
      </c>
      <c r="C11" s="37">
        <f>IF(ROW()=10, DATE(2025, 4, 1), DATE(2025, 4, 22))</f>
        <v>45769</v>
      </c>
      <c r="D11" s="46">
        <v>5000.0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/>
      <c r="O11" s="39"/>
      <c r="P11" s="38"/>
      <c r="Q11" s="2"/>
    </row>
    <row r="12" ht="22.5" customHeight="1">
      <c r="A12" s="2"/>
      <c r="B12" s="36"/>
      <c r="C12" s="37"/>
      <c r="D12" s="38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/>
      <c r="O12" s="39"/>
      <c r="P12" s="38"/>
      <c r="Q12" s="2"/>
    </row>
    <row r="13" ht="22.5" customHeight="1">
      <c r="A13" s="2"/>
      <c r="B13" s="36"/>
      <c r="C13" s="37"/>
      <c r="D13" s="38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7"/>
      <c r="D14" s="38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7"/>
      <c r="D15" s="38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/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3000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80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19000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81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19000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82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19000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83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15465</v>
      </c>
      <c r="G3" s="28"/>
      <c r="H3" s="29"/>
      <c r="I3" s="2"/>
      <c r="J3" s="30">
        <f>D30+H30+L30+P30</f>
        <v>3535</v>
      </c>
      <c r="K3" s="28"/>
      <c r="L3" s="29"/>
      <c r="M3" s="2"/>
      <c r="N3" s="30">
        <f>D18-C30-G30-K30-O30</f>
        <v>15950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>
        <v>900.0</v>
      </c>
      <c r="P10" s="38">
        <v>900.0</v>
      </c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>
        <v>400.0</v>
      </c>
      <c r="P11" s="38">
        <v>400.0</v>
      </c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>
        <v>200.0</v>
      </c>
      <c r="P12" s="38">
        <v>400.0</v>
      </c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36"/>
      <c r="C16" s="36"/>
      <c r="D16" s="36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36"/>
      <c r="C17" s="36"/>
      <c r="D17" s="36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>
        <v>300.0</v>
      </c>
      <c r="D22" s="38">
        <v>325.0</v>
      </c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>
        <v>500.0</v>
      </c>
      <c r="D23" s="38">
        <v>550.0</v>
      </c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>
        <v>200.0</v>
      </c>
      <c r="D24" s="38">
        <v>210.0</v>
      </c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>
        <v>400.0</v>
      </c>
      <c r="D25" s="38">
        <v>550.0</v>
      </c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>
        <v>150.0</v>
      </c>
      <c r="D26" s="38">
        <v>200.0</v>
      </c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1550</v>
      </c>
      <c r="D30" s="42">
        <f t="shared" si="1"/>
        <v>1835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1500</v>
      </c>
      <c r="P30" s="42">
        <f t="shared" si="4"/>
        <v>1700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84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19000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36"/>
      <c r="C16" s="36"/>
      <c r="D16" s="36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36"/>
      <c r="C17" s="36"/>
      <c r="D17" s="36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85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19000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86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19000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18.88"/>
    <col customWidth="1" min="5" max="5" width="2.63"/>
    <col customWidth="1" min="6" max="6" width="18.88"/>
    <col customWidth="1" min="9" max="9" width="2.63"/>
    <col customWidth="1" min="10" max="10" width="18.88"/>
    <col customWidth="1" min="13" max="13" width="2.63"/>
    <col customWidth="1" min="14" max="14" width="18.88"/>
    <col customWidth="1" min="17" max="17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6.25" customHeight="1">
      <c r="A2" s="2"/>
      <c r="B2" s="5" t="s">
        <v>87</v>
      </c>
      <c r="C2" s="6"/>
      <c r="D2" s="8"/>
      <c r="E2" s="2"/>
      <c r="F2" s="24" t="s">
        <v>60</v>
      </c>
      <c r="G2" s="25"/>
      <c r="H2" s="26"/>
      <c r="I2" s="2"/>
      <c r="J2" s="24" t="s">
        <v>55</v>
      </c>
      <c r="K2" s="25"/>
      <c r="L2" s="26"/>
      <c r="M2" s="2"/>
      <c r="N2" s="24" t="s">
        <v>61</v>
      </c>
      <c r="O2" s="25"/>
      <c r="P2" s="26"/>
      <c r="Q2" s="2"/>
    </row>
    <row r="3" ht="26.25" customHeight="1">
      <c r="A3" s="2"/>
      <c r="B3" s="27"/>
      <c r="C3" s="28"/>
      <c r="D3" s="29"/>
      <c r="E3" s="2"/>
      <c r="F3" s="30">
        <f>D18-J3</f>
        <v>19000</v>
      </c>
      <c r="G3" s="28"/>
      <c r="H3" s="29"/>
      <c r="I3" s="2"/>
      <c r="J3" s="30">
        <f>D30+H30+L30+P30</f>
        <v>0</v>
      </c>
      <c r="K3" s="28"/>
      <c r="L3" s="29"/>
      <c r="M3" s="2"/>
      <c r="N3" s="30">
        <f>D18-C30-G30-K30-O30</f>
        <v>19000</v>
      </c>
      <c r="O3" s="28"/>
      <c r="P3" s="29"/>
      <c r="Q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2"/>
      <c r="B5" s="31" t="s">
        <v>14</v>
      </c>
      <c r="C5" s="25"/>
      <c r="D5" s="26"/>
      <c r="E5" s="2"/>
      <c r="F5" s="31" t="s">
        <v>62</v>
      </c>
      <c r="G5" s="25"/>
      <c r="H5" s="26"/>
      <c r="I5" s="2"/>
      <c r="J5" s="31" t="s">
        <v>63</v>
      </c>
      <c r="K5" s="25"/>
      <c r="L5" s="26"/>
      <c r="M5" s="2"/>
      <c r="N5" s="31" t="s">
        <v>64</v>
      </c>
      <c r="O5" s="25"/>
      <c r="P5" s="26"/>
      <c r="Q5" s="2"/>
    </row>
    <row r="6" ht="168.75" customHeight="1">
      <c r="A6" s="2"/>
      <c r="B6" s="32"/>
      <c r="C6" s="28"/>
      <c r="D6" s="29"/>
      <c r="E6" s="2"/>
      <c r="F6" s="32"/>
      <c r="G6" s="28"/>
      <c r="H6" s="29"/>
      <c r="I6" s="2"/>
      <c r="J6" s="32"/>
      <c r="K6" s="28"/>
      <c r="L6" s="29"/>
      <c r="M6" s="2"/>
      <c r="N6" s="32"/>
      <c r="O6" s="28"/>
      <c r="P6" s="29"/>
      <c r="Q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2"/>
      <c r="B8" s="43" t="s">
        <v>14</v>
      </c>
      <c r="C8" s="25"/>
      <c r="D8" s="26"/>
      <c r="E8" s="2"/>
      <c r="F8" s="33" t="s">
        <v>16</v>
      </c>
      <c r="G8" s="25"/>
      <c r="H8" s="26"/>
      <c r="I8" s="2"/>
      <c r="J8" s="33" t="s">
        <v>17</v>
      </c>
      <c r="K8" s="25"/>
      <c r="L8" s="26"/>
      <c r="M8" s="2"/>
      <c r="N8" s="33" t="s">
        <v>65</v>
      </c>
      <c r="O8" s="25"/>
      <c r="P8" s="26"/>
      <c r="Q8" s="2"/>
    </row>
    <row r="9" ht="22.5" customHeight="1">
      <c r="A9" s="2"/>
      <c r="B9" s="34" t="s">
        <v>20</v>
      </c>
      <c r="C9" s="35" t="s">
        <v>66</v>
      </c>
      <c r="D9" s="35" t="s">
        <v>67</v>
      </c>
      <c r="E9" s="2"/>
      <c r="F9" s="34" t="s">
        <v>20</v>
      </c>
      <c r="G9" s="35" t="s">
        <v>68</v>
      </c>
      <c r="H9" s="35" t="s">
        <v>69</v>
      </c>
      <c r="I9" s="2"/>
      <c r="J9" s="34" t="s">
        <v>20</v>
      </c>
      <c r="K9" s="35" t="s">
        <v>68</v>
      </c>
      <c r="L9" s="35" t="s">
        <v>69</v>
      </c>
      <c r="M9" s="2"/>
      <c r="N9" s="34" t="s">
        <v>20</v>
      </c>
      <c r="O9" s="35" t="s">
        <v>68</v>
      </c>
      <c r="P9" s="35" t="s">
        <v>69</v>
      </c>
      <c r="Q9" s="2"/>
    </row>
    <row r="10" ht="22.5" customHeight="1">
      <c r="A10" s="2"/>
      <c r="B10" s="36" t="str">
        <f>Apr!B10</f>
        <v>Burs</v>
      </c>
      <c r="C10" s="37">
        <f>Apr!C10</f>
        <v>45748</v>
      </c>
      <c r="D10" s="38">
        <f>Apr!D10</f>
        <v>14000</v>
      </c>
      <c r="E10" s="2"/>
      <c r="F10" s="36" t="s">
        <v>34</v>
      </c>
      <c r="G10" s="39"/>
      <c r="H10" s="38"/>
      <c r="I10" s="2"/>
      <c r="J10" s="36" t="s">
        <v>43</v>
      </c>
      <c r="K10" s="39"/>
      <c r="L10" s="38"/>
      <c r="M10" s="2"/>
      <c r="N10" s="36" t="s">
        <v>56</v>
      </c>
      <c r="O10" s="39"/>
      <c r="P10" s="38"/>
      <c r="Q10" s="2"/>
    </row>
    <row r="11" ht="22.5" customHeight="1">
      <c r="A11" s="2"/>
      <c r="B11" s="36" t="str">
        <f>Apr!B11</f>
        <v>Maaş</v>
      </c>
      <c r="C11" s="37">
        <f>Apr!C11</f>
        <v>45769</v>
      </c>
      <c r="D11" s="38">
        <f>Apr!D11</f>
        <v>5000</v>
      </c>
      <c r="E11" s="2"/>
      <c r="F11" s="36" t="s">
        <v>35</v>
      </c>
      <c r="G11" s="39"/>
      <c r="H11" s="38"/>
      <c r="I11" s="2"/>
      <c r="J11" s="36" t="s">
        <v>44</v>
      </c>
      <c r="K11" s="39"/>
      <c r="L11" s="38"/>
      <c r="M11" s="2"/>
      <c r="N11" s="36" t="s">
        <v>57</v>
      </c>
      <c r="O11" s="39"/>
      <c r="P11" s="38"/>
      <c r="Q11" s="2"/>
    </row>
    <row r="12" ht="22.5" customHeight="1">
      <c r="A12" s="2"/>
      <c r="B12" s="36"/>
      <c r="C12" s="36"/>
      <c r="D12" s="36"/>
      <c r="E12" s="2"/>
      <c r="F12" s="36" t="s">
        <v>36</v>
      </c>
      <c r="G12" s="39"/>
      <c r="H12" s="38"/>
      <c r="I12" s="2"/>
      <c r="J12" s="36" t="s">
        <v>45</v>
      </c>
      <c r="K12" s="39"/>
      <c r="L12" s="38"/>
      <c r="M12" s="2"/>
      <c r="N12" s="36" t="s">
        <v>58</v>
      </c>
      <c r="O12" s="39"/>
      <c r="P12" s="38"/>
      <c r="Q12" s="2"/>
    </row>
    <row r="13" ht="22.5" customHeight="1">
      <c r="A13" s="2"/>
      <c r="B13" s="36"/>
      <c r="C13" s="36"/>
      <c r="D13" s="36"/>
      <c r="E13" s="2"/>
      <c r="F13" s="36" t="s">
        <v>37</v>
      </c>
      <c r="G13" s="39"/>
      <c r="H13" s="38"/>
      <c r="I13" s="2"/>
      <c r="J13" s="36" t="s">
        <v>46</v>
      </c>
      <c r="K13" s="39"/>
      <c r="L13" s="38"/>
      <c r="M13" s="2"/>
      <c r="N13" s="36"/>
      <c r="O13" s="39"/>
      <c r="P13" s="38"/>
      <c r="Q13" s="2"/>
    </row>
    <row r="14" ht="22.5" customHeight="1">
      <c r="A14" s="2"/>
      <c r="B14" s="36"/>
      <c r="C14" s="36"/>
      <c r="D14" s="36"/>
      <c r="E14" s="2"/>
      <c r="F14" s="36" t="s">
        <v>38</v>
      </c>
      <c r="G14" s="39"/>
      <c r="H14" s="38"/>
      <c r="I14" s="2"/>
      <c r="J14" s="36" t="s">
        <v>47</v>
      </c>
      <c r="K14" s="39"/>
      <c r="L14" s="38"/>
      <c r="M14" s="2"/>
      <c r="N14" s="36"/>
      <c r="O14" s="39"/>
      <c r="P14" s="38"/>
      <c r="Q14" s="2"/>
    </row>
    <row r="15" ht="22.5" customHeight="1">
      <c r="A15" s="2"/>
      <c r="B15" s="36"/>
      <c r="C15" s="36"/>
      <c r="D15" s="36"/>
      <c r="E15" s="2"/>
      <c r="F15" s="36" t="s">
        <v>39</v>
      </c>
      <c r="G15" s="39"/>
      <c r="H15" s="38"/>
      <c r="I15" s="2"/>
      <c r="J15" s="36" t="s">
        <v>48</v>
      </c>
      <c r="K15" s="39"/>
      <c r="L15" s="38"/>
      <c r="M15" s="2"/>
      <c r="N15" s="36"/>
      <c r="O15" s="39"/>
      <c r="P15" s="38"/>
      <c r="Q15" s="2"/>
    </row>
    <row r="16" ht="22.5" customHeight="1">
      <c r="A16" s="2"/>
      <c r="B16" s="40"/>
      <c r="C16" s="37"/>
      <c r="D16" s="38"/>
      <c r="E16" s="2"/>
      <c r="F16" s="36" t="s">
        <v>40</v>
      </c>
      <c r="G16" s="39"/>
      <c r="H16" s="38"/>
      <c r="I16" s="2"/>
      <c r="J16" s="36" t="s">
        <v>49</v>
      </c>
      <c r="K16" s="39"/>
      <c r="L16" s="38"/>
      <c r="M16" s="2"/>
      <c r="N16" s="36"/>
      <c r="O16" s="39"/>
      <c r="P16" s="38"/>
      <c r="Q16" s="2"/>
    </row>
    <row r="17" ht="22.5" customHeight="1">
      <c r="A17" s="2"/>
      <c r="B17" s="40"/>
      <c r="C17" s="37"/>
      <c r="D17" s="38"/>
      <c r="E17" s="2"/>
      <c r="F17" s="36" t="s">
        <v>41</v>
      </c>
      <c r="G17" s="39"/>
      <c r="H17" s="38"/>
      <c r="I17" s="2"/>
      <c r="J17" s="36" t="s">
        <v>50</v>
      </c>
      <c r="K17" s="39"/>
      <c r="L17" s="38"/>
      <c r="M17" s="2"/>
      <c r="N17" s="36"/>
      <c r="O17" s="39"/>
      <c r="P17" s="38"/>
      <c r="Q17" s="2"/>
    </row>
    <row r="18" ht="22.5" customHeight="1">
      <c r="A18" s="2"/>
      <c r="B18" s="34" t="s">
        <v>70</v>
      </c>
      <c r="C18" s="41"/>
      <c r="D18" s="42">
        <f>SUM(D10:D17)</f>
        <v>19000</v>
      </c>
      <c r="E18" s="2"/>
      <c r="F18" s="36"/>
      <c r="G18" s="39"/>
      <c r="H18" s="38"/>
      <c r="I18" s="2"/>
      <c r="J18" s="36" t="s">
        <v>51</v>
      </c>
      <c r="K18" s="39"/>
      <c r="L18" s="38"/>
      <c r="M18" s="2"/>
      <c r="N18" s="36"/>
      <c r="O18" s="39"/>
      <c r="P18" s="38"/>
      <c r="Q18" s="2"/>
    </row>
    <row r="19" ht="22.5" customHeight="1">
      <c r="A19" s="2"/>
      <c r="B19" s="2"/>
      <c r="C19" s="2"/>
      <c r="D19" s="2"/>
      <c r="E19" s="2"/>
      <c r="F19" s="36"/>
      <c r="G19" s="39"/>
      <c r="H19" s="38"/>
      <c r="I19" s="2"/>
      <c r="J19" s="36" t="s">
        <v>52</v>
      </c>
      <c r="K19" s="39"/>
      <c r="L19" s="38"/>
      <c r="M19" s="2"/>
      <c r="N19" s="36"/>
      <c r="O19" s="39"/>
      <c r="P19" s="38"/>
      <c r="Q19" s="2"/>
    </row>
    <row r="20" ht="22.5" customHeight="1">
      <c r="A20" s="2"/>
      <c r="B20" s="33" t="s">
        <v>15</v>
      </c>
      <c r="C20" s="25"/>
      <c r="D20" s="26"/>
      <c r="E20" s="2"/>
      <c r="F20" s="36"/>
      <c r="G20" s="39"/>
      <c r="H20" s="38"/>
      <c r="I20" s="2"/>
      <c r="J20" s="36" t="s">
        <v>53</v>
      </c>
      <c r="K20" s="39"/>
      <c r="L20" s="38"/>
      <c r="M20" s="2"/>
      <c r="N20" s="36"/>
      <c r="O20" s="39"/>
      <c r="P20" s="38"/>
      <c r="Q20" s="2"/>
    </row>
    <row r="21" ht="22.5" customHeight="1">
      <c r="A21" s="2"/>
      <c r="B21" s="34" t="s">
        <v>20</v>
      </c>
      <c r="C21" s="35" t="s">
        <v>68</v>
      </c>
      <c r="D21" s="35" t="s">
        <v>69</v>
      </c>
      <c r="E21" s="2"/>
      <c r="F21" s="36"/>
      <c r="G21" s="39"/>
      <c r="H21" s="38"/>
      <c r="I21" s="2"/>
      <c r="J21" s="36" t="s">
        <v>54</v>
      </c>
      <c r="K21" s="39"/>
      <c r="L21" s="38"/>
      <c r="M21" s="2"/>
      <c r="N21" s="36"/>
      <c r="O21" s="39"/>
      <c r="P21" s="38"/>
      <c r="Q21" s="2"/>
    </row>
    <row r="22" ht="22.5" customHeight="1">
      <c r="A22" s="2"/>
      <c r="B22" s="36" t="s">
        <v>28</v>
      </c>
      <c r="C22" s="39"/>
      <c r="D22" s="38"/>
      <c r="E22" s="2"/>
      <c r="F22" s="36"/>
      <c r="G22" s="39"/>
      <c r="H22" s="38"/>
      <c r="I22" s="2"/>
      <c r="J22" s="36"/>
      <c r="K22" s="39"/>
      <c r="L22" s="38"/>
      <c r="M22" s="2"/>
      <c r="N22" s="36"/>
      <c r="O22" s="39"/>
      <c r="P22" s="38"/>
      <c r="Q22" s="2"/>
    </row>
    <row r="23" ht="22.5" customHeight="1">
      <c r="A23" s="2"/>
      <c r="B23" s="36" t="s">
        <v>29</v>
      </c>
      <c r="C23" s="39"/>
      <c r="D23" s="38"/>
      <c r="E23" s="2"/>
      <c r="F23" s="36"/>
      <c r="G23" s="39"/>
      <c r="H23" s="38"/>
      <c r="I23" s="2"/>
      <c r="J23" s="36"/>
      <c r="K23" s="39"/>
      <c r="L23" s="38"/>
      <c r="M23" s="2"/>
      <c r="N23" s="36"/>
      <c r="O23" s="39"/>
      <c r="P23" s="38"/>
      <c r="Q23" s="2"/>
    </row>
    <row r="24" ht="22.5" customHeight="1">
      <c r="A24" s="2"/>
      <c r="B24" s="36" t="s">
        <v>30</v>
      </c>
      <c r="C24" s="39"/>
      <c r="D24" s="38"/>
      <c r="E24" s="2"/>
      <c r="F24" s="36"/>
      <c r="G24" s="39"/>
      <c r="H24" s="38"/>
      <c r="I24" s="2"/>
      <c r="J24" s="36"/>
      <c r="K24" s="39"/>
      <c r="L24" s="38"/>
      <c r="M24" s="2"/>
      <c r="N24" s="36"/>
      <c r="O24" s="39"/>
      <c r="P24" s="38"/>
      <c r="Q24" s="2"/>
    </row>
    <row r="25" ht="22.5" customHeight="1">
      <c r="A25" s="2"/>
      <c r="B25" s="36" t="s">
        <v>31</v>
      </c>
      <c r="C25" s="39"/>
      <c r="D25" s="38"/>
      <c r="E25" s="2"/>
      <c r="F25" s="36"/>
      <c r="G25" s="39"/>
      <c r="H25" s="38"/>
      <c r="I25" s="2"/>
      <c r="J25" s="36"/>
      <c r="K25" s="39"/>
      <c r="L25" s="38"/>
      <c r="M25" s="2"/>
      <c r="N25" s="36"/>
      <c r="O25" s="39"/>
      <c r="P25" s="38"/>
      <c r="Q25" s="2"/>
    </row>
    <row r="26" ht="22.5" customHeight="1">
      <c r="A26" s="2"/>
      <c r="B26" s="36" t="s">
        <v>32</v>
      </c>
      <c r="C26" s="39"/>
      <c r="D26" s="38"/>
      <c r="E26" s="2"/>
      <c r="F26" s="36"/>
      <c r="G26" s="39"/>
      <c r="H26" s="38"/>
      <c r="I26" s="2"/>
      <c r="J26" s="36"/>
      <c r="K26" s="39"/>
      <c r="L26" s="38"/>
      <c r="M26" s="2"/>
      <c r="N26" s="36"/>
      <c r="O26" s="39"/>
      <c r="P26" s="38"/>
      <c r="Q26" s="2"/>
    </row>
    <row r="27" ht="22.5" customHeight="1">
      <c r="A27" s="2"/>
      <c r="B27" s="36"/>
      <c r="C27" s="39"/>
      <c r="D27" s="38"/>
      <c r="E27" s="2"/>
      <c r="F27" s="36"/>
      <c r="G27" s="39"/>
      <c r="H27" s="38"/>
      <c r="I27" s="2"/>
      <c r="J27" s="36"/>
      <c r="K27" s="39"/>
      <c r="L27" s="38"/>
      <c r="M27" s="2"/>
      <c r="N27" s="36"/>
      <c r="O27" s="39"/>
      <c r="P27" s="38"/>
      <c r="Q27" s="2"/>
    </row>
    <row r="28" ht="22.5" customHeight="1">
      <c r="A28" s="2"/>
      <c r="B28" s="40"/>
      <c r="C28" s="39"/>
      <c r="D28" s="38"/>
      <c r="E28" s="2"/>
      <c r="F28" s="40"/>
      <c r="G28" s="39"/>
      <c r="H28" s="38"/>
      <c r="I28" s="2"/>
      <c r="J28" s="40"/>
      <c r="K28" s="39"/>
      <c r="L28" s="38"/>
      <c r="M28" s="2"/>
      <c r="N28" s="40"/>
      <c r="O28" s="39"/>
      <c r="P28" s="38"/>
      <c r="Q28" s="2"/>
    </row>
    <row r="29" ht="22.5" customHeight="1">
      <c r="A29" s="2"/>
      <c r="B29" s="40"/>
      <c r="C29" s="39"/>
      <c r="D29" s="38"/>
      <c r="E29" s="2"/>
      <c r="F29" s="40"/>
      <c r="G29" s="39"/>
      <c r="H29" s="38"/>
      <c r="I29" s="2"/>
      <c r="J29" s="40"/>
      <c r="K29" s="39"/>
      <c r="L29" s="38"/>
      <c r="M29" s="2"/>
      <c r="N29" s="40"/>
      <c r="O29" s="39"/>
      <c r="P29" s="38"/>
      <c r="Q29" s="2"/>
    </row>
    <row r="30" ht="22.5" customHeight="1">
      <c r="A30" s="2"/>
      <c r="B30" s="34" t="s">
        <v>70</v>
      </c>
      <c r="C30" s="42">
        <f t="shared" ref="C30:D30" si="1">SUM(C22:C29)</f>
        <v>0</v>
      </c>
      <c r="D30" s="42">
        <f t="shared" si="1"/>
        <v>0</v>
      </c>
      <c r="E30" s="2"/>
      <c r="F30" s="34" t="s">
        <v>70</v>
      </c>
      <c r="G30" s="42">
        <f t="shared" ref="G30:H30" si="2">SUM(G10:G29)</f>
        <v>0</v>
      </c>
      <c r="H30" s="42">
        <f t="shared" si="2"/>
        <v>0</v>
      </c>
      <c r="I30" s="2"/>
      <c r="J30" s="34" t="s">
        <v>70</v>
      </c>
      <c r="K30" s="42">
        <f t="shared" ref="K30:L30" si="3">SUM(K10:K29)</f>
        <v>0</v>
      </c>
      <c r="L30" s="42">
        <f t="shared" si="3"/>
        <v>0</v>
      </c>
      <c r="M30" s="2"/>
      <c r="N30" s="34" t="s">
        <v>70</v>
      </c>
      <c r="O30" s="42">
        <f t="shared" ref="O30:P30" si="4">SUM(O10:O29)</f>
        <v>0</v>
      </c>
      <c r="P30" s="42">
        <f t="shared" si="4"/>
        <v>0</v>
      </c>
      <c r="Q30" s="2"/>
    </row>
    <row r="31" ht="26.25" customHeight="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mergeCells count="20">
    <mergeCell ref="B2:D3"/>
    <mergeCell ref="F2:H2"/>
    <mergeCell ref="J2:L2"/>
    <mergeCell ref="N2:P2"/>
    <mergeCell ref="F3:H3"/>
    <mergeCell ref="J3:L3"/>
    <mergeCell ref="N3:P3"/>
    <mergeCell ref="B6:D6"/>
    <mergeCell ref="B8:D8"/>
    <mergeCell ref="F8:H8"/>
    <mergeCell ref="J8:L8"/>
    <mergeCell ref="N8:P8"/>
    <mergeCell ref="B20:D20"/>
    <mergeCell ref="B5:D5"/>
    <mergeCell ref="F5:H5"/>
    <mergeCell ref="J5:L5"/>
    <mergeCell ref="N5:P5"/>
    <mergeCell ref="F6:H6"/>
    <mergeCell ref="J6:L6"/>
    <mergeCell ref="N6:P6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5" max="5" width="2.63"/>
    <col customWidth="1" min="9" max="9" width="2.63"/>
    <col customWidth="1" min="13" max="13" width="2.63"/>
    <col customWidth="1" min="17" max="17" width="2.63"/>
    <col customWidth="1" min="21" max="21" width="2.63"/>
    <col customWidth="1" min="25" max="25" width="4.5"/>
  </cols>
  <sheetData>
    <row r="1" ht="26.25" customHeight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Y1" s="3"/>
    </row>
    <row r="2" ht="22.5" customHeight="1">
      <c r="A2" s="47"/>
      <c r="B2" s="48" t="s">
        <v>88</v>
      </c>
      <c r="C2" s="49"/>
      <c r="D2" s="50"/>
      <c r="E2" s="51"/>
      <c r="F2" s="52" t="s">
        <v>89</v>
      </c>
      <c r="G2" s="49"/>
      <c r="H2" s="50"/>
      <c r="I2" s="51"/>
      <c r="J2" s="48" t="s">
        <v>90</v>
      </c>
      <c r="K2" s="49"/>
      <c r="L2" s="50"/>
      <c r="M2" s="51"/>
      <c r="N2" s="53" t="s">
        <v>91</v>
      </c>
      <c r="O2" s="54"/>
      <c r="P2" s="55"/>
      <c r="Q2" s="51"/>
      <c r="R2" s="48" t="s">
        <v>92</v>
      </c>
      <c r="S2" s="49"/>
      <c r="T2" s="50"/>
      <c r="U2" s="51"/>
      <c r="V2" s="52" t="s">
        <v>93</v>
      </c>
      <c r="W2" s="49"/>
      <c r="X2" s="50"/>
      <c r="Y2" s="47"/>
    </row>
    <row r="3" ht="22.5" customHeight="1">
      <c r="A3" s="56"/>
      <c r="B3" s="57" t="s">
        <v>20</v>
      </c>
      <c r="C3" s="35" t="s">
        <v>68</v>
      </c>
      <c r="D3" s="58" t="s">
        <v>69</v>
      </c>
      <c r="F3" s="57" t="s">
        <v>20</v>
      </c>
      <c r="G3" s="35" t="s">
        <v>68</v>
      </c>
      <c r="H3" s="58" t="s">
        <v>69</v>
      </c>
      <c r="J3" s="57" t="s">
        <v>20</v>
      </c>
      <c r="K3" s="35" t="s">
        <v>68</v>
      </c>
      <c r="L3" s="58" t="s">
        <v>69</v>
      </c>
      <c r="N3" s="59" t="s">
        <v>20</v>
      </c>
      <c r="O3" s="60" t="s">
        <v>68</v>
      </c>
      <c r="P3" s="61" t="s">
        <v>69</v>
      </c>
      <c r="R3" s="57" t="s">
        <v>20</v>
      </c>
      <c r="S3" s="35" t="s">
        <v>68</v>
      </c>
      <c r="T3" s="58" t="s">
        <v>69</v>
      </c>
      <c r="V3" s="57" t="s">
        <v>20</v>
      </c>
      <c r="W3" s="35" t="s">
        <v>68</v>
      </c>
      <c r="X3" s="58" t="s">
        <v>69</v>
      </c>
      <c r="Y3" s="56"/>
    </row>
    <row r="4" ht="22.5" customHeight="1">
      <c r="A4" s="62"/>
      <c r="B4" s="63" t="s">
        <v>15</v>
      </c>
      <c r="C4" s="39">
        <f>Jan!C30</f>
        <v>0</v>
      </c>
      <c r="D4" s="64">
        <f>Jan!D30</f>
        <v>0</v>
      </c>
      <c r="F4" s="63" t="s">
        <v>15</v>
      </c>
      <c r="G4" s="39">
        <f>Feb!C30</f>
        <v>0</v>
      </c>
      <c r="H4" s="64">
        <f>Feb!D30</f>
        <v>0</v>
      </c>
      <c r="J4" s="63" t="s">
        <v>15</v>
      </c>
      <c r="K4" s="39">
        <f>Mar!C30</f>
        <v>22500</v>
      </c>
      <c r="L4" s="64">
        <f>Mar!D30</f>
        <v>34900</v>
      </c>
      <c r="N4" s="65" t="s">
        <v>15</v>
      </c>
      <c r="O4" s="66">
        <f>Apr!$C30</f>
        <v>0</v>
      </c>
      <c r="P4" s="64">
        <f>Apr!$D30</f>
        <v>0</v>
      </c>
      <c r="R4" s="63" t="s">
        <v>15</v>
      </c>
      <c r="S4" s="66">
        <f>May!$C30</f>
        <v>0</v>
      </c>
      <c r="T4" s="64">
        <f>May!$D30</f>
        <v>0</v>
      </c>
      <c r="V4" s="63" t="s">
        <v>15</v>
      </c>
      <c r="W4" s="66">
        <f>Jun!$C30</f>
        <v>0</v>
      </c>
      <c r="X4" s="64">
        <f>Jun!$D30</f>
        <v>0</v>
      </c>
      <c r="Y4" s="62"/>
    </row>
    <row r="5" ht="22.5" customHeight="1">
      <c r="A5" s="62"/>
      <c r="B5" s="63" t="s">
        <v>16</v>
      </c>
      <c r="C5" s="39">
        <f>Jan!G30</f>
        <v>0</v>
      </c>
      <c r="D5" s="67">
        <f>Jan!H30</f>
        <v>0</v>
      </c>
      <c r="F5" s="63" t="s">
        <v>16</v>
      </c>
      <c r="G5" s="39">
        <f>Feb!G30</f>
        <v>0</v>
      </c>
      <c r="H5" s="67">
        <f>Feb!H30</f>
        <v>0</v>
      </c>
      <c r="J5" s="63" t="s">
        <v>16</v>
      </c>
      <c r="K5" s="39">
        <f>Mar!G30</f>
        <v>0</v>
      </c>
      <c r="L5" s="67">
        <f>Mar!H30</f>
        <v>0</v>
      </c>
      <c r="N5" s="63" t="s">
        <v>16</v>
      </c>
      <c r="O5" s="39">
        <f>Apr!$G30</f>
        <v>0</v>
      </c>
      <c r="P5" s="67">
        <f>Apr!$H30</f>
        <v>0</v>
      </c>
      <c r="R5" s="63" t="s">
        <v>16</v>
      </c>
      <c r="S5" s="39">
        <f>May!$G30</f>
        <v>0</v>
      </c>
      <c r="T5" s="67">
        <f>May!$H30</f>
        <v>0</v>
      </c>
      <c r="V5" s="63" t="s">
        <v>16</v>
      </c>
      <c r="W5" s="39">
        <f>Jun!$G30</f>
        <v>0</v>
      </c>
      <c r="X5" s="67">
        <f>Jun!$H30</f>
        <v>0</v>
      </c>
      <c r="Y5" s="62"/>
    </row>
    <row r="6" ht="22.5" customHeight="1">
      <c r="A6" s="62"/>
      <c r="B6" s="63" t="s">
        <v>17</v>
      </c>
      <c r="C6" s="68">
        <f>Jan!K30</f>
        <v>0</v>
      </c>
      <c r="D6" s="67">
        <f>Jan!L30</f>
        <v>0</v>
      </c>
      <c r="F6" s="63" t="s">
        <v>17</v>
      </c>
      <c r="G6" s="68">
        <f>Feb!K30</f>
        <v>0</v>
      </c>
      <c r="H6" s="67">
        <f>Feb!L30</f>
        <v>0</v>
      </c>
      <c r="J6" s="63" t="s">
        <v>17</v>
      </c>
      <c r="K6" s="68">
        <f>Mar!K30</f>
        <v>0</v>
      </c>
      <c r="L6" s="67">
        <f>Mar!L30</f>
        <v>0</v>
      </c>
      <c r="N6" s="63" t="s">
        <v>17</v>
      </c>
      <c r="O6" s="68">
        <f>Apr!$K30</f>
        <v>0</v>
      </c>
      <c r="P6" s="67">
        <f>Apr!$L30</f>
        <v>0</v>
      </c>
      <c r="R6" s="63" t="s">
        <v>17</v>
      </c>
      <c r="S6" s="68">
        <f>May!$K30</f>
        <v>0</v>
      </c>
      <c r="T6" s="67">
        <f>May!$L30</f>
        <v>0</v>
      </c>
      <c r="V6" s="63" t="s">
        <v>17</v>
      </c>
      <c r="W6" s="68">
        <f>Jun!$K30</f>
        <v>0</v>
      </c>
      <c r="X6" s="67">
        <f>Jun!$L30</f>
        <v>0</v>
      </c>
      <c r="Y6" s="62"/>
    </row>
    <row r="7" ht="22.5" customHeight="1">
      <c r="A7" s="62"/>
      <c r="B7" s="63" t="s">
        <v>65</v>
      </c>
      <c r="C7" s="69">
        <f>Jan!O30</f>
        <v>0</v>
      </c>
      <c r="D7" s="70">
        <f>Jan!P30</f>
        <v>0</v>
      </c>
      <c r="F7" s="63" t="s">
        <v>65</v>
      </c>
      <c r="G7" s="69">
        <f>Feb!O30</f>
        <v>0</v>
      </c>
      <c r="H7" s="70">
        <f>Feb!P30</f>
        <v>0</v>
      </c>
      <c r="J7" s="63" t="s">
        <v>65</v>
      </c>
      <c r="K7" s="69">
        <f>Mar!O30</f>
        <v>0</v>
      </c>
      <c r="L7" s="70">
        <f>Mar!P30</f>
        <v>0</v>
      </c>
      <c r="N7" s="71" t="s">
        <v>65</v>
      </c>
      <c r="O7" s="69">
        <f>Apr!$O30</f>
        <v>3000</v>
      </c>
      <c r="P7" s="70">
        <f>Apr!$P30</f>
        <v>0</v>
      </c>
      <c r="R7" s="63" t="s">
        <v>65</v>
      </c>
      <c r="S7" s="69">
        <f>May!$O30</f>
        <v>0</v>
      </c>
      <c r="T7" s="70">
        <f>May!$P30</f>
        <v>0</v>
      </c>
      <c r="V7" s="63" t="s">
        <v>65</v>
      </c>
      <c r="W7" s="69">
        <f>Jun!$O30</f>
        <v>0</v>
      </c>
      <c r="X7" s="70">
        <f>Jun!$P30</f>
        <v>0</v>
      </c>
      <c r="Y7" s="62"/>
    </row>
    <row r="8" ht="22.5" customHeight="1">
      <c r="A8" s="62"/>
      <c r="B8" s="72" t="s">
        <v>94</v>
      </c>
      <c r="C8" s="25"/>
      <c r="D8" s="73"/>
      <c r="E8" s="74"/>
      <c r="F8" s="75" t="s">
        <v>95</v>
      </c>
      <c r="G8" s="25"/>
      <c r="H8" s="73"/>
      <c r="I8" s="74"/>
      <c r="J8" s="72" t="s">
        <v>96</v>
      </c>
      <c r="K8" s="25"/>
      <c r="L8" s="73"/>
      <c r="M8" s="74"/>
      <c r="N8" s="76" t="s">
        <v>97</v>
      </c>
      <c r="P8" s="77"/>
      <c r="Q8" s="74"/>
      <c r="R8" s="72" t="s">
        <v>98</v>
      </c>
      <c r="S8" s="25"/>
      <c r="T8" s="73"/>
      <c r="U8" s="74"/>
      <c r="V8" s="75" t="s">
        <v>99</v>
      </c>
      <c r="W8" s="25"/>
      <c r="X8" s="73"/>
      <c r="Y8" s="62"/>
    </row>
    <row r="9" ht="22.5" customHeight="1">
      <c r="A9" s="62"/>
      <c r="B9" s="57" t="s">
        <v>20</v>
      </c>
      <c r="C9" s="24" t="s">
        <v>67</v>
      </c>
      <c r="D9" s="73"/>
      <c r="F9" s="57" t="s">
        <v>20</v>
      </c>
      <c r="G9" s="24" t="s">
        <v>67</v>
      </c>
      <c r="H9" s="73"/>
      <c r="J9" s="57" t="s">
        <v>20</v>
      </c>
      <c r="K9" s="24" t="s">
        <v>67</v>
      </c>
      <c r="L9" s="73"/>
      <c r="N9" s="59" t="s">
        <v>20</v>
      </c>
      <c r="O9" s="60" t="s">
        <v>67</v>
      </c>
      <c r="P9" s="77"/>
      <c r="R9" s="57" t="s">
        <v>20</v>
      </c>
      <c r="S9" s="24" t="s">
        <v>67</v>
      </c>
      <c r="T9" s="73"/>
      <c r="V9" s="57" t="s">
        <v>20</v>
      </c>
      <c r="W9" s="24" t="s">
        <v>67</v>
      </c>
      <c r="X9" s="73"/>
      <c r="Y9" s="62"/>
    </row>
    <row r="10" ht="22.5" customHeight="1">
      <c r="A10" s="62"/>
      <c r="B10" s="63" t="s">
        <v>15</v>
      </c>
      <c r="C10" s="78">
        <f>Jan!D30</f>
        <v>0</v>
      </c>
      <c r="D10" s="73"/>
      <c r="F10" s="63" t="s">
        <v>15</v>
      </c>
      <c r="G10" s="78">
        <f>Feb!D30</f>
        <v>0</v>
      </c>
      <c r="H10" s="73"/>
      <c r="J10" s="63" t="s">
        <v>15</v>
      </c>
      <c r="K10" s="78">
        <f>Mar!D30</f>
        <v>34900</v>
      </c>
      <c r="L10" s="73"/>
      <c r="N10" s="63" t="s">
        <v>15</v>
      </c>
      <c r="O10" s="78">
        <f>Apr!D30</f>
        <v>0</v>
      </c>
      <c r="P10" s="79"/>
      <c r="R10" s="63" t="s">
        <v>15</v>
      </c>
      <c r="S10" s="80">
        <f>May!$D30</f>
        <v>0</v>
      </c>
      <c r="T10" s="81"/>
      <c r="V10" s="63" t="s">
        <v>15</v>
      </c>
      <c r="W10" s="78">
        <f>Jun!$D30</f>
        <v>0</v>
      </c>
      <c r="X10" s="73"/>
      <c r="Y10" s="62"/>
    </row>
    <row r="11" ht="22.5" customHeight="1">
      <c r="A11" s="62"/>
      <c r="B11" s="63" t="s">
        <v>16</v>
      </c>
      <c r="C11" s="78">
        <f>Jan!H30</f>
        <v>0</v>
      </c>
      <c r="D11" s="73"/>
      <c r="F11" s="63" t="s">
        <v>16</v>
      </c>
      <c r="G11" s="78">
        <f>Feb!H30</f>
        <v>0</v>
      </c>
      <c r="H11" s="73"/>
      <c r="J11" s="63" t="s">
        <v>16</v>
      </c>
      <c r="K11" s="78">
        <f>Mar!H30</f>
        <v>0</v>
      </c>
      <c r="L11" s="73"/>
      <c r="N11" s="63" t="s">
        <v>16</v>
      </c>
      <c r="O11" s="78">
        <f>Apr!H30</f>
        <v>0</v>
      </c>
      <c r="P11" s="79"/>
      <c r="R11" s="63" t="s">
        <v>16</v>
      </c>
      <c r="S11" s="82">
        <f>May!$H30</f>
        <v>0</v>
      </c>
      <c r="T11" s="73"/>
      <c r="V11" s="63" t="s">
        <v>16</v>
      </c>
      <c r="W11" s="78">
        <f>Jun!$H30</f>
        <v>0</v>
      </c>
      <c r="X11" s="73"/>
      <c r="Y11" s="62"/>
    </row>
    <row r="12" ht="22.5" customHeight="1">
      <c r="A12" s="62"/>
      <c r="B12" s="63" t="s">
        <v>17</v>
      </c>
      <c r="C12" s="78">
        <f>Jan!L30</f>
        <v>0</v>
      </c>
      <c r="D12" s="73"/>
      <c r="F12" s="63" t="s">
        <v>17</v>
      </c>
      <c r="G12" s="78">
        <f>Feb!L30</f>
        <v>0</v>
      </c>
      <c r="H12" s="73"/>
      <c r="J12" s="63" t="s">
        <v>17</v>
      </c>
      <c r="K12" s="78">
        <f>Mar!L30</f>
        <v>0</v>
      </c>
      <c r="L12" s="73"/>
      <c r="N12" s="63" t="s">
        <v>17</v>
      </c>
      <c r="O12" s="78">
        <f>Apr!L30</f>
        <v>0</v>
      </c>
      <c r="P12" s="79"/>
      <c r="R12" s="63" t="s">
        <v>17</v>
      </c>
      <c r="S12" s="82">
        <f>May!$L30</f>
        <v>0</v>
      </c>
      <c r="T12" s="73"/>
      <c r="V12" s="63" t="s">
        <v>17</v>
      </c>
      <c r="W12" s="78">
        <f>Jun!$L30</f>
        <v>0</v>
      </c>
      <c r="X12" s="73"/>
      <c r="Y12" s="62"/>
    </row>
    <row r="13" ht="22.5" customHeight="1">
      <c r="A13" s="62"/>
      <c r="B13" s="83" t="s">
        <v>65</v>
      </c>
      <c r="C13" s="84">
        <f>Jan!P30</f>
        <v>0</v>
      </c>
      <c r="D13" s="85"/>
      <c r="F13" s="83" t="s">
        <v>65</v>
      </c>
      <c r="G13" s="84">
        <f>Feb!P30</f>
        <v>0</v>
      </c>
      <c r="H13" s="85"/>
      <c r="J13" s="83" t="s">
        <v>65</v>
      </c>
      <c r="K13" s="84">
        <f>Mar!P30</f>
        <v>0</v>
      </c>
      <c r="L13" s="85"/>
      <c r="N13" s="83" t="s">
        <v>65</v>
      </c>
      <c r="O13" s="84">
        <f>Apr!P30</f>
        <v>0</v>
      </c>
      <c r="P13" s="86"/>
      <c r="R13" s="83" t="s">
        <v>65</v>
      </c>
      <c r="S13" s="87">
        <f>May!$P30</f>
        <v>0</v>
      </c>
      <c r="T13" s="85"/>
      <c r="V13" s="83" t="s">
        <v>65</v>
      </c>
      <c r="W13" s="84">
        <f>Jun!$P30</f>
        <v>0</v>
      </c>
      <c r="X13" s="85"/>
      <c r="Y13" s="62"/>
    </row>
    <row r="14">
      <c r="A14" s="62"/>
      <c r="Y14" s="62"/>
    </row>
    <row r="15" ht="22.5" customHeight="1">
      <c r="A15" s="62"/>
      <c r="B15" s="52" t="s">
        <v>100</v>
      </c>
      <c r="C15" s="49"/>
      <c r="D15" s="50"/>
      <c r="E15" s="74"/>
      <c r="F15" s="48" t="s">
        <v>101</v>
      </c>
      <c r="G15" s="49"/>
      <c r="H15" s="50"/>
      <c r="I15" s="74"/>
      <c r="J15" s="52" t="s">
        <v>102</v>
      </c>
      <c r="K15" s="49"/>
      <c r="L15" s="50"/>
      <c r="M15" s="74"/>
      <c r="N15" s="48" t="s">
        <v>103</v>
      </c>
      <c r="O15" s="49"/>
      <c r="P15" s="50"/>
      <c r="Q15" s="74"/>
      <c r="R15" s="52" t="s">
        <v>104</v>
      </c>
      <c r="S15" s="49"/>
      <c r="T15" s="50"/>
      <c r="U15" s="74"/>
      <c r="V15" s="48" t="s">
        <v>105</v>
      </c>
      <c r="W15" s="49"/>
      <c r="X15" s="50"/>
      <c r="Y15" s="62"/>
    </row>
    <row r="16" ht="22.5" customHeight="1">
      <c r="A16" s="62"/>
      <c r="B16" s="57" t="s">
        <v>20</v>
      </c>
      <c r="C16" s="35" t="s">
        <v>68</v>
      </c>
      <c r="D16" s="58" t="s">
        <v>69</v>
      </c>
      <c r="F16" s="57" t="s">
        <v>20</v>
      </c>
      <c r="G16" s="35" t="s">
        <v>68</v>
      </c>
      <c r="H16" s="58" t="s">
        <v>69</v>
      </c>
      <c r="J16" s="57" t="s">
        <v>20</v>
      </c>
      <c r="K16" s="35" t="s">
        <v>68</v>
      </c>
      <c r="L16" s="58" t="s">
        <v>69</v>
      </c>
      <c r="N16" s="57" t="s">
        <v>20</v>
      </c>
      <c r="O16" s="35" t="s">
        <v>68</v>
      </c>
      <c r="P16" s="58" t="s">
        <v>69</v>
      </c>
      <c r="R16" s="57" t="s">
        <v>20</v>
      </c>
      <c r="S16" s="35" t="s">
        <v>68</v>
      </c>
      <c r="T16" s="58" t="s">
        <v>69</v>
      </c>
      <c r="V16" s="88" t="s">
        <v>20</v>
      </c>
      <c r="W16" s="35" t="s">
        <v>68</v>
      </c>
      <c r="X16" s="58" t="s">
        <v>69</v>
      </c>
      <c r="Y16" s="62"/>
    </row>
    <row r="17" ht="22.5" customHeight="1">
      <c r="A17" s="62"/>
      <c r="B17" s="63" t="s">
        <v>15</v>
      </c>
      <c r="C17" s="39">
        <f>Jul!$C30</f>
        <v>0</v>
      </c>
      <c r="D17" s="89">
        <f>Jul!$D30</f>
        <v>0</v>
      </c>
      <c r="F17" s="63" t="s">
        <v>15</v>
      </c>
      <c r="G17" s="39">
        <f>Aug!$C30</f>
        <v>1550</v>
      </c>
      <c r="H17" s="89">
        <f>Aug!$D30</f>
        <v>1835</v>
      </c>
      <c r="J17" s="63" t="s">
        <v>15</v>
      </c>
      <c r="K17" s="39">
        <f>Sep!$C30</f>
        <v>0</v>
      </c>
      <c r="L17" s="89">
        <f>Sep!$D30</f>
        <v>0</v>
      </c>
      <c r="N17" s="63" t="s">
        <v>15</v>
      </c>
      <c r="O17" s="39">
        <f>Oct!$C30</f>
        <v>0</v>
      </c>
      <c r="P17" s="89">
        <f>Oct!$D30</f>
        <v>0</v>
      </c>
      <c r="R17" s="63" t="s">
        <v>15</v>
      </c>
      <c r="S17" s="39">
        <f>Nov!$C30</f>
        <v>0</v>
      </c>
      <c r="T17" s="89">
        <f>Nov!$D30</f>
        <v>0</v>
      </c>
      <c r="V17" s="90" t="s">
        <v>15</v>
      </c>
      <c r="W17" s="39">
        <f>Dec!$C30</f>
        <v>0</v>
      </c>
      <c r="X17" s="89">
        <f>Dec!$D30</f>
        <v>0</v>
      </c>
      <c r="Y17" s="62"/>
    </row>
    <row r="18" ht="22.5" customHeight="1">
      <c r="A18" s="62"/>
      <c r="B18" s="63" t="s">
        <v>16</v>
      </c>
      <c r="C18" s="39">
        <f>Jul!$G30</f>
        <v>0</v>
      </c>
      <c r="D18" s="91">
        <f>Jul!$H30</f>
        <v>0</v>
      </c>
      <c r="F18" s="63" t="s">
        <v>16</v>
      </c>
      <c r="G18" s="39">
        <f>Aug!$G30</f>
        <v>0</v>
      </c>
      <c r="H18" s="91">
        <f>Aug!$H30</f>
        <v>0</v>
      </c>
      <c r="J18" s="63" t="s">
        <v>16</v>
      </c>
      <c r="K18" s="39">
        <f>Sep!$G30</f>
        <v>0</v>
      </c>
      <c r="L18" s="91">
        <f>Sep!$H30</f>
        <v>0</v>
      </c>
      <c r="N18" s="63" t="s">
        <v>16</v>
      </c>
      <c r="O18" s="39">
        <f>Oct!$G30</f>
        <v>0</v>
      </c>
      <c r="P18" s="91">
        <f>Oct!$H30</f>
        <v>0</v>
      </c>
      <c r="R18" s="63" t="s">
        <v>16</v>
      </c>
      <c r="S18" s="39">
        <f>Nov!$G30</f>
        <v>0</v>
      </c>
      <c r="T18" s="91">
        <f>Nov!$H30</f>
        <v>0</v>
      </c>
      <c r="V18" s="90" t="s">
        <v>16</v>
      </c>
      <c r="W18" s="39">
        <f>Dec!$G30</f>
        <v>0</v>
      </c>
      <c r="X18" s="91">
        <f>Dec!$H30</f>
        <v>0</v>
      </c>
      <c r="Y18" s="62"/>
    </row>
    <row r="19" ht="22.5" customHeight="1">
      <c r="A19" s="62"/>
      <c r="B19" s="63" t="s">
        <v>17</v>
      </c>
      <c r="C19" s="92">
        <f>Jul!$K30</f>
        <v>0</v>
      </c>
      <c r="D19" s="91">
        <f>Jul!$L30</f>
        <v>0</v>
      </c>
      <c r="F19" s="63" t="s">
        <v>17</v>
      </c>
      <c r="G19" s="92">
        <f>Aug!$K30</f>
        <v>0</v>
      </c>
      <c r="H19" s="91">
        <f>Aug!$L30</f>
        <v>0</v>
      </c>
      <c r="J19" s="63" t="s">
        <v>17</v>
      </c>
      <c r="K19" s="92">
        <f>Sep!$K30</f>
        <v>0</v>
      </c>
      <c r="L19" s="91">
        <f>Sep!$L30</f>
        <v>0</v>
      </c>
      <c r="N19" s="63" t="s">
        <v>17</v>
      </c>
      <c r="O19" s="92">
        <f>Oct!$K30</f>
        <v>0</v>
      </c>
      <c r="P19" s="91">
        <f>Oct!$L30</f>
        <v>0</v>
      </c>
      <c r="R19" s="63" t="s">
        <v>17</v>
      </c>
      <c r="S19" s="92">
        <f>Nov!$K30</f>
        <v>0</v>
      </c>
      <c r="T19" s="91">
        <f>Nov!$L30</f>
        <v>0</v>
      </c>
      <c r="V19" s="90" t="s">
        <v>17</v>
      </c>
      <c r="W19" s="92">
        <f>Dec!$K30</f>
        <v>0</v>
      </c>
      <c r="X19" s="91">
        <f>Dec!$L30</f>
        <v>0</v>
      </c>
      <c r="Y19" s="62"/>
    </row>
    <row r="20" ht="22.5" customHeight="1">
      <c r="A20" s="62"/>
      <c r="B20" s="63" t="s">
        <v>65</v>
      </c>
      <c r="C20" s="93">
        <f>Jul!$O30</f>
        <v>0</v>
      </c>
      <c r="D20" s="94">
        <f>Jul!$P30</f>
        <v>0</v>
      </c>
      <c r="F20" s="63" t="s">
        <v>65</v>
      </c>
      <c r="G20" s="93">
        <f>Aug!$O30</f>
        <v>1500</v>
      </c>
      <c r="H20" s="94">
        <f>Aug!$P30</f>
        <v>1700</v>
      </c>
      <c r="J20" s="63" t="s">
        <v>65</v>
      </c>
      <c r="K20" s="93">
        <f>Sep!$O30</f>
        <v>0</v>
      </c>
      <c r="L20" s="94">
        <f>Sep!$P30</f>
        <v>0</v>
      </c>
      <c r="N20" s="63" t="s">
        <v>65</v>
      </c>
      <c r="O20" s="93">
        <f>Oct!$O30</f>
        <v>0</v>
      </c>
      <c r="P20" s="94">
        <f>Oct!$P30</f>
        <v>0</v>
      </c>
      <c r="R20" s="63" t="s">
        <v>65</v>
      </c>
      <c r="S20" s="93">
        <f>Nov!$O30</f>
        <v>0</v>
      </c>
      <c r="T20" s="94">
        <f>Nov!$P30</f>
        <v>0</v>
      </c>
      <c r="V20" s="90" t="s">
        <v>65</v>
      </c>
      <c r="W20" s="93">
        <f>Dec!$O30</f>
        <v>0</v>
      </c>
      <c r="X20" s="94">
        <f>Dec!$P30</f>
        <v>0</v>
      </c>
      <c r="Y20" s="62"/>
    </row>
    <row r="21" ht="22.5" customHeight="1">
      <c r="A21" s="62"/>
      <c r="B21" s="75" t="s">
        <v>106</v>
      </c>
      <c r="C21" s="25"/>
      <c r="D21" s="73"/>
      <c r="E21" s="74"/>
      <c r="F21" s="72" t="s">
        <v>107</v>
      </c>
      <c r="G21" s="25"/>
      <c r="H21" s="73"/>
      <c r="I21" s="74"/>
      <c r="J21" s="75" t="s">
        <v>108</v>
      </c>
      <c r="K21" s="25"/>
      <c r="L21" s="73"/>
      <c r="M21" s="74"/>
      <c r="N21" s="72" t="s">
        <v>109</v>
      </c>
      <c r="O21" s="25"/>
      <c r="P21" s="73"/>
      <c r="Q21" s="74"/>
      <c r="R21" s="75" t="s">
        <v>110</v>
      </c>
      <c r="S21" s="25"/>
      <c r="T21" s="73"/>
      <c r="U21" s="74"/>
      <c r="V21" s="72" t="s">
        <v>111</v>
      </c>
      <c r="W21" s="25"/>
      <c r="X21" s="73"/>
      <c r="Y21" s="62"/>
    </row>
    <row r="22" ht="22.5" customHeight="1">
      <c r="A22" s="62"/>
      <c r="B22" s="57" t="s">
        <v>20</v>
      </c>
      <c r="C22" s="24" t="s">
        <v>67</v>
      </c>
      <c r="D22" s="73"/>
      <c r="F22" s="57" t="s">
        <v>20</v>
      </c>
      <c r="G22" s="24" t="s">
        <v>67</v>
      </c>
      <c r="H22" s="73"/>
      <c r="J22" s="57" t="s">
        <v>20</v>
      </c>
      <c r="K22" s="24" t="s">
        <v>67</v>
      </c>
      <c r="L22" s="73"/>
      <c r="N22" s="57" t="s">
        <v>20</v>
      </c>
      <c r="O22" s="24" t="s">
        <v>67</v>
      </c>
      <c r="P22" s="73"/>
      <c r="R22" s="57" t="s">
        <v>20</v>
      </c>
      <c r="S22" s="24" t="s">
        <v>67</v>
      </c>
      <c r="T22" s="73"/>
      <c r="V22" s="57" t="s">
        <v>20</v>
      </c>
      <c r="W22" s="24" t="s">
        <v>67</v>
      </c>
      <c r="X22" s="73"/>
      <c r="Y22" s="62"/>
    </row>
    <row r="23" ht="22.5" customHeight="1">
      <c r="A23" s="62"/>
      <c r="B23" s="63" t="s">
        <v>15</v>
      </c>
      <c r="C23" s="78">
        <f>Jul!$D30</f>
        <v>0</v>
      </c>
      <c r="D23" s="73"/>
      <c r="F23" s="63" t="s">
        <v>15</v>
      </c>
      <c r="G23" s="78">
        <f>Aug!$D30</f>
        <v>1835</v>
      </c>
      <c r="H23" s="73"/>
      <c r="J23" s="63" t="s">
        <v>15</v>
      </c>
      <c r="K23" s="78">
        <f>Sep!$D30</f>
        <v>0</v>
      </c>
      <c r="L23" s="73"/>
      <c r="N23" s="63" t="s">
        <v>15</v>
      </c>
      <c r="O23" s="78">
        <f>Oct!$D30</f>
        <v>0</v>
      </c>
      <c r="P23" s="73"/>
      <c r="R23" s="63" t="s">
        <v>15</v>
      </c>
      <c r="S23" s="78">
        <f>Nov!$D30</f>
        <v>0</v>
      </c>
      <c r="T23" s="73"/>
      <c r="V23" s="63" t="s">
        <v>15</v>
      </c>
      <c r="W23" s="78">
        <f>Dec!$D30</f>
        <v>0</v>
      </c>
      <c r="X23" s="73"/>
      <c r="Y23" s="62"/>
    </row>
    <row r="24" ht="22.5" customHeight="1">
      <c r="A24" s="62"/>
      <c r="B24" s="63" t="s">
        <v>16</v>
      </c>
      <c r="C24" s="78">
        <f>Jul!$H30</f>
        <v>0</v>
      </c>
      <c r="D24" s="73"/>
      <c r="F24" s="63" t="s">
        <v>16</v>
      </c>
      <c r="G24" s="78">
        <f>Aug!$H30</f>
        <v>0</v>
      </c>
      <c r="H24" s="73"/>
      <c r="J24" s="63" t="s">
        <v>16</v>
      </c>
      <c r="K24" s="78">
        <f>Sep!$H30</f>
        <v>0</v>
      </c>
      <c r="L24" s="73"/>
      <c r="N24" s="63" t="s">
        <v>16</v>
      </c>
      <c r="O24" s="78">
        <f>Oct!$H30</f>
        <v>0</v>
      </c>
      <c r="P24" s="73"/>
      <c r="R24" s="63" t="s">
        <v>16</v>
      </c>
      <c r="S24" s="78">
        <f>Nov!$H30</f>
        <v>0</v>
      </c>
      <c r="T24" s="73"/>
      <c r="V24" s="63" t="s">
        <v>16</v>
      </c>
      <c r="W24" s="78">
        <f>Dec!$H30</f>
        <v>0</v>
      </c>
      <c r="X24" s="73"/>
      <c r="Y24" s="62"/>
    </row>
    <row r="25" ht="22.5" customHeight="1">
      <c r="A25" s="62"/>
      <c r="B25" s="63" t="s">
        <v>17</v>
      </c>
      <c r="C25" s="78">
        <f>Jul!$L30</f>
        <v>0</v>
      </c>
      <c r="D25" s="73"/>
      <c r="F25" s="63" t="s">
        <v>17</v>
      </c>
      <c r="G25" s="78">
        <f>Aug!$L30</f>
        <v>0</v>
      </c>
      <c r="H25" s="73"/>
      <c r="J25" s="63" t="s">
        <v>17</v>
      </c>
      <c r="K25" s="78">
        <f>Sep!$L30</f>
        <v>0</v>
      </c>
      <c r="L25" s="73"/>
      <c r="N25" s="63" t="s">
        <v>17</v>
      </c>
      <c r="O25" s="78">
        <f>Oct!$L30</f>
        <v>0</v>
      </c>
      <c r="P25" s="73"/>
      <c r="R25" s="63" t="s">
        <v>17</v>
      </c>
      <c r="S25" s="78">
        <f>Nov!$L30</f>
        <v>0</v>
      </c>
      <c r="T25" s="73"/>
      <c r="V25" s="63" t="s">
        <v>17</v>
      </c>
      <c r="W25" s="78">
        <f>Dec!$L30</f>
        <v>0</v>
      </c>
      <c r="X25" s="73"/>
      <c r="Y25" s="62"/>
    </row>
    <row r="26" ht="22.5" customHeight="1">
      <c r="A26" s="62"/>
      <c r="B26" s="83" t="s">
        <v>65</v>
      </c>
      <c r="C26" s="84">
        <f>Jul!$P30</f>
        <v>0</v>
      </c>
      <c r="D26" s="85"/>
      <c r="F26" s="83" t="s">
        <v>65</v>
      </c>
      <c r="G26" s="84">
        <f>Aug!$P30</f>
        <v>1700</v>
      </c>
      <c r="H26" s="85"/>
      <c r="J26" s="83" t="s">
        <v>65</v>
      </c>
      <c r="K26" s="84">
        <f>Sep!$P30</f>
        <v>0</v>
      </c>
      <c r="L26" s="85"/>
      <c r="N26" s="83" t="s">
        <v>65</v>
      </c>
      <c r="O26" s="84">
        <f>Oct!$P30</f>
        <v>0</v>
      </c>
      <c r="P26" s="85"/>
      <c r="R26" s="83" t="s">
        <v>65</v>
      </c>
      <c r="S26" s="84">
        <f>Nov!$P30</f>
        <v>0</v>
      </c>
      <c r="T26" s="85"/>
      <c r="V26" s="83" t="s">
        <v>65</v>
      </c>
      <c r="W26" s="84">
        <f>Dec!$P30</f>
        <v>0</v>
      </c>
      <c r="X26" s="85"/>
      <c r="Y26" s="62"/>
    </row>
    <row r="27" ht="26.25" customHeight="1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Y27" s="3"/>
    </row>
  </sheetData>
  <mergeCells count="84">
    <mergeCell ref="K12:L12"/>
    <mergeCell ref="K13:L13"/>
    <mergeCell ref="B15:D15"/>
    <mergeCell ref="F15:H15"/>
    <mergeCell ref="J15:L15"/>
    <mergeCell ref="N15:P15"/>
    <mergeCell ref="N21:P21"/>
    <mergeCell ref="O22:P22"/>
    <mergeCell ref="O23:P23"/>
    <mergeCell ref="O24:P24"/>
    <mergeCell ref="O25:P25"/>
    <mergeCell ref="O26:P26"/>
    <mergeCell ref="G23:H23"/>
    <mergeCell ref="G24:H24"/>
    <mergeCell ref="G25:H25"/>
    <mergeCell ref="G26:H26"/>
    <mergeCell ref="C24:D24"/>
    <mergeCell ref="C25:D25"/>
    <mergeCell ref="C26:D26"/>
    <mergeCell ref="K25:L25"/>
    <mergeCell ref="K26:L26"/>
    <mergeCell ref="B21:D21"/>
    <mergeCell ref="C22:D22"/>
    <mergeCell ref="G22:H22"/>
    <mergeCell ref="K22:L22"/>
    <mergeCell ref="C23:D23"/>
    <mergeCell ref="K23:L23"/>
    <mergeCell ref="K24:L24"/>
    <mergeCell ref="N8:P8"/>
    <mergeCell ref="R8:T8"/>
    <mergeCell ref="O9:P9"/>
    <mergeCell ref="S9:T9"/>
    <mergeCell ref="W9:X9"/>
    <mergeCell ref="O10:P10"/>
    <mergeCell ref="S10:T10"/>
    <mergeCell ref="W10:X10"/>
    <mergeCell ref="B2:D2"/>
    <mergeCell ref="F2:H2"/>
    <mergeCell ref="J2:L2"/>
    <mergeCell ref="N2:P2"/>
    <mergeCell ref="R2:T2"/>
    <mergeCell ref="V2:X2"/>
    <mergeCell ref="B8:D8"/>
    <mergeCell ref="V8:X8"/>
    <mergeCell ref="C10:D10"/>
    <mergeCell ref="C11:D11"/>
    <mergeCell ref="G11:H11"/>
    <mergeCell ref="K11:L11"/>
    <mergeCell ref="O11:P11"/>
    <mergeCell ref="S11:T11"/>
    <mergeCell ref="W11:X11"/>
    <mergeCell ref="F8:H8"/>
    <mergeCell ref="J8:L8"/>
    <mergeCell ref="C9:D9"/>
    <mergeCell ref="G9:H9"/>
    <mergeCell ref="K9:L9"/>
    <mergeCell ref="G10:H10"/>
    <mergeCell ref="K10:L10"/>
    <mergeCell ref="S12:T12"/>
    <mergeCell ref="S13:T13"/>
    <mergeCell ref="R15:T15"/>
    <mergeCell ref="V15:X15"/>
    <mergeCell ref="C12:D12"/>
    <mergeCell ref="G12:H12"/>
    <mergeCell ref="O12:P12"/>
    <mergeCell ref="W12:X12"/>
    <mergeCell ref="C13:D13"/>
    <mergeCell ref="G13:H13"/>
    <mergeCell ref="O13:P13"/>
    <mergeCell ref="W13:X13"/>
    <mergeCell ref="S23:T23"/>
    <mergeCell ref="S24:T24"/>
    <mergeCell ref="W24:X24"/>
    <mergeCell ref="S25:T25"/>
    <mergeCell ref="W25:X25"/>
    <mergeCell ref="S26:T26"/>
    <mergeCell ref="W26:X26"/>
    <mergeCell ref="F21:H21"/>
    <mergeCell ref="J21:L21"/>
    <mergeCell ref="R21:T21"/>
    <mergeCell ref="V21:X21"/>
    <mergeCell ref="S22:T22"/>
    <mergeCell ref="W22:X22"/>
    <mergeCell ref="W23:X23"/>
  </mergeCells>
  <drawing r:id="rId1"/>
</worksheet>
</file>